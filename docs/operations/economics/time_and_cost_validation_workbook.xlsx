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rgets" sheetId="2" state="visible" r:id="rId2"/>
    <sheet xmlns:r="http://schemas.openxmlformats.org/officeDocument/2006/relationships" name="Job log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800020"/>
      <sz val="13"/>
    </font>
    <font>
      <b val="1"/>
      <color rgb="00FFFDF6"/>
    </font>
    <font>
      <b val="1"/>
      <color rgb="00800020"/>
    </font>
    <font>
      <b val="1"/>
      <color rgb="00800020"/>
      <sz val="14"/>
    </font>
  </fonts>
  <fills count="4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E8D5B0"/>
      </left>
      <right style="thin">
        <color rgb="00E8D5B0"/>
      </right>
      <top style="thin">
        <color rgb="00E8D5B0"/>
      </top>
      <bottom style="thin">
        <color rgb="00E8D5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0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b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Time-and-cost validation workbook</t>
        </is>
      </c>
    </row>
    <row r="2">
      <c r="A2" s="2" t="inlineStr"/>
    </row>
    <row r="3">
      <c r="A3" s="2" t="inlineStr">
        <is>
          <t>Why: 108 services are released to sell by quote then invoice, but none has measured economics. This workbook records real jobs so the 50% floor is tested on facts.</t>
        </is>
      </c>
    </row>
    <row r="4">
      <c r="A4" s="2" t="inlineStr">
        <is>
          <t>Labor rate: DEC-LABOR-001 (owner-approved 2026-09-01), Tier 1 $60, Tier 2 $75, Tier 3 $100 per hour. These are internal cost rates, not wages, retail prices or provider payouts; owner draw is separate.</t>
        </is>
      </c>
    </row>
    <row r="5">
      <c r="A5" s="2" t="inlineStr">
        <is>
          <t>Log: one row per paid job. Use a reference, never a client name. Take hours from a timer or calendar, and the fee from the processor record.</t>
        </is>
      </c>
    </row>
    <row r="6">
      <c r="A6" s="2" t="inlineStr">
        <is>
          <t>Include acquisition cost (lead fees, ads) for the job. It is a real cost; the only measured job so far lost about 26% of revenue to it.</t>
        </is>
      </c>
    </row>
    <row r="7">
      <c r="A7" s="2" t="inlineStr">
        <is>
          <t>A row counts as MEASURED only when hours come from a timer and the fee from a processor record. Estimates are PARTIAL and never verify anything.</t>
        </is>
      </c>
    </row>
    <row r="8">
      <c r="A8" s="2" t="inlineStr">
        <is>
          <t>This file never changes Production. Any decision to reprice, rescope or mark a service verified belongs to the owner.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3" customWidth="1" min="3" max="3"/>
    <col width="7" customWidth="1" min="4" max="4"/>
    <col width="18" customWidth="1" min="5" max="5"/>
    <col width="12" customWidth="1" min="6" max="6"/>
    <col width="22" customWidth="1" min="7" max="7"/>
    <col width="14" customWidth="1" min="8" max="8"/>
    <col width="28" customWidth="1" min="9" max="9"/>
  </cols>
  <sheetData>
    <row r="1">
      <c r="A1" s="3" t="inlineStr">
        <is>
          <t>Services under validation (prices from Production; hours are DRAFT estimates until validated)</t>
        </is>
      </c>
    </row>
    <row r="3">
      <c r="A3" s="4" t="inlineStr">
        <is>
          <t>SKU</t>
        </is>
      </c>
      <c r="B3" s="4" t="inlineStr">
        <is>
          <t>Service</t>
        </is>
      </c>
      <c r="C3" s="4" t="inlineStr">
        <is>
          <t>Locked price</t>
        </is>
      </c>
      <c r="D3" s="4" t="inlineStr">
        <is>
          <t>Tier</t>
        </is>
      </c>
      <c r="E3" s="4" t="inlineStr">
        <is>
          <t>Rate (DEC-LABOR-001)</t>
        </is>
      </c>
      <c r="F3" s="4" t="inlineStr">
        <is>
          <t>Draft hours</t>
        </is>
      </c>
      <c r="G3" s="4" t="inlineStr">
        <is>
          <t>Max hours at 50% floor</t>
        </is>
      </c>
      <c r="H3" s="4" t="inlineStr">
        <is>
          <t>Draft margin</t>
        </is>
      </c>
      <c r="I3" s="4" t="inlineStr">
        <is>
          <t>Status</t>
        </is>
      </c>
    </row>
    <row r="4">
      <c r="A4" s="5" t="inlineStr">
        <is>
          <t>DNI-04A-001</t>
        </is>
      </c>
      <c r="B4" s="5" t="inlineStr">
        <is>
          <t>Virtual Assistant</t>
        </is>
      </c>
      <c r="C4" s="5" t="n">
        <v>149</v>
      </c>
      <c r="D4" s="5" t="n">
        <v>2</v>
      </c>
      <c r="E4" s="5">
        <f>IF(D4=1,60,IF(D4=2,75,100))</f>
        <v/>
      </c>
      <c r="F4" s="5" t="n">
        <v>1</v>
      </c>
      <c r="G4" s="5">
        <f>ROUND(((1-0.5-0.029)*C4)/E4,2)</f>
        <v/>
      </c>
      <c r="H4" s="6">
        <f>(C4-F4*E4-0.029*C4)/C4</f>
        <v/>
      </c>
      <c r="I4" s="5" t="inlineStr">
        <is>
          <t>ECONOMICALLY_UNVERIFIED</t>
        </is>
      </c>
    </row>
    <row r="5">
      <c r="A5" s="5" t="inlineStr">
        <is>
          <t>DNI-04A-007</t>
        </is>
      </c>
      <c r="B5" s="5" t="inlineStr">
        <is>
          <t>Document Formatting</t>
        </is>
      </c>
      <c r="C5" s="5" t="n">
        <v>139</v>
      </c>
      <c r="D5" s="5" t="n">
        <v>2</v>
      </c>
      <c r="E5" s="5">
        <f>IF(D5=1,60,IF(D5=2,75,100))</f>
        <v/>
      </c>
      <c r="F5" s="5" t="n">
        <v>1</v>
      </c>
      <c r="G5" s="5">
        <f>ROUND(((1-0.5-0.029)*C5)/E5,2)</f>
        <v/>
      </c>
      <c r="H5" s="6">
        <f>(C5-F5*E5-0.029*C5)/C5</f>
        <v/>
      </c>
      <c r="I5" s="5" t="inlineStr">
        <is>
          <t>ECONOMICALLY_UNVERIFIED</t>
        </is>
      </c>
    </row>
    <row r="6">
      <c r="A6" s="5" t="inlineStr">
        <is>
          <t>DNI-04A-009</t>
        </is>
      </c>
      <c r="B6" s="5" t="inlineStr">
        <is>
          <t>Research Assistant</t>
        </is>
      </c>
      <c r="C6" s="5" t="n">
        <v>225</v>
      </c>
      <c r="D6" s="5" t="n">
        <v>3</v>
      </c>
      <c r="E6" s="5">
        <f>IF(D6=1,60,IF(D6=2,75,100))</f>
        <v/>
      </c>
      <c r="F6" s="5" t="n">
        <v>1.5</v>
      </c>
      <c r="G6" s="5">
        <f>ROUND(((1-0.5-0.029)*C6)/E6,2)</f>
        <v/>
      </c>
      <c r="H6" s="6">
        <f>(C6-F6*E6-0.029*C6)/C6</f>
        <v/>
      </c>
      <c r="I6" s="5" t="inlineStr">
        <is>
          <t>ECONOMICALLY_UNVERIFIED</t>
        </is>
      </c>
    </row>
    <row r="7">
      <c r="A7" s="5" t="inlineStr">
        <is>
          <t>DNI-04A-010</t>
        </is>
      </c>
      <c r="B7" s="5" t="inlineStr">
        <is>
          <t>Project Coordination</t>
        </is>
      </c>
      <c r="C7" s="5" t="n">
        <v>275</v>
      </c>
      <c r="D7" s="5" t="n">
        <v>3</v>
      </c>
      <c r="E7" s="5">
        <f>IF(D7=1,60,IF(D7=2,75,100))</f>
        <v/>
      </c>
      <c r="F7" s="5" t="n">
        <v>1.5</v>
      </c>
      <c r="G7" s="5">
        <f>ROUND(((1-0.5-0.029)*C7)/E7,2)</f>
        <v/>
      </c>
      <c r="H7" s="6">
        <f>(C7-F7*E7-0.029*C7)/C7</f>
        <v/>
      </c>
      <c r="I7" s="5" t="inlineStr">
        <is>
          <t>ECONOMICALLY_UNVERIFIED</t>
        </is>
      </c>
    </row>
    <row r="8">
      <c r="A8" s="5" t="inlineStr">
        <is>
          <t>DNI-04A-008</t>
        </is>
      </c>
      <c r="B8" s="5" t="inlineStr">
        <is>
          <t>Meeting Support</t>
        </is>
      </c>
      <c r="C8" s="5" t="n">
        <v>225</v>
      </c>
      <c r="D8" s="5" t="n">
        <v>2</v>
      </c>
      <c r="E8" s="5">
        <f>IF(D8=1,60,IF(D8=2,75,100))</f>
        <v/>
      </c>
      <c r="F8" s="5" t="n">
        <v>1.5</v>
      </c>
      <c r="G8" s="5">
        <f>ROUND(((1-0.5-0.029)*C8)/E8,2)</f>
        <v/>
      </c>
      <c r="H8" s="6">
        <f>(C8-F8*E8-0.029*C8)/C8</f>
        <v/>
      </c>
      <c r="I8" s="5" t="inlineStr">
        <is>
          <t>ECONOMICALLY_UNVERIFIED</t>
        </is>
      </c>
    </row>
    <row r="10">
      <c r="A10" s="7" t="inlineStr">
        <is>
          <t>Floor and fee assumptions</t>
        </is>
      </c>
    </row>
    <row r="11">
      <c r="A11" t="inlineStr">
        <is>
          <t>Margin floor</t>
        </is>
      </c>
      <c r="B11" s="8" t="n">
        <v>0.5</v>
      </c>
    </row>
    <row r="12">
      <c r="A12" t="inlineStr">
        <is>
          <t>Processing fee used in the draft column</t>
        </is>
      </c>
      <c r="B12" s="9" t="n">
        <v>0.029</v>
      </c>
    </row>
    <row r="13">
      <c r="A13" t="inlineStr">
        <is>
          <t>In the Job log, enter the ACTUAL processor fee from the payout record, not this assumption.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  <col width="16" customWidth="1" min="12" max="12"/>
    <col width="16" customWidth="1" min="13" max="13"/>
    <col width="9" customWidth="1" min="14" max="14"/>
    <col width="8" customWidth="1" min="15" max="15"/>
    <col width="10" customWidth="1" min="16" max="16"/>
    <col width="10" customWidth="1" min="17" max="17"/>
    <col width="11" customWidth="1" min="18" max="18"/>
    <col width="9" customWidth="1" min="19" max="19"/>
    <col width="10" customWidth="1" min="20" max="20"/>
    <col width="11" customWidth="1" min="21" max="21"/>
  </cols>
  <sheetData>
    <row r="1" ht="62" customHeight="1">
      <c r="A1" s="4" t="inlineStr">
        <is>
          <t>Job date</t>
        </is>
      </c>
      <c r="B1" s="4" t="inlineStr">
        <is>
          <t>SKU</t>
        </is>
      </c>
      <c r="C1" s="4" t="inlineStr">
        <is>
          <t>Job reference (no names or private data)</t>
        </is>
      </c>
      <c r="D1" s="4" t="inlineStr">
        <is>
          <t>Collected (USD)</t>
        </is>
      </c>
      <c r="E1" s="4" t="inlineStr">
        <is>
          <t>Actual processor fee (USD)</t>
        </is>
      </c>
      <c r="F1" s="4" t="inlineStr">
        <is>
          <t>Hours: intake and scoping</t>
        </is>
      </c>
      <c r="G1" s="4" t="inlineStr">
        <is>
          <t>Hours: delivery</t>
        </is>
      </c>
      <c r="H1" s="4" t="inlineStr">
        <is>
          <t>Hours: QA and revisions</t>
        </is>
      </c>
      <c r="I1" s="4" t="inlineStr">
        <is>
          <t>Hours: admin and follow-up</t>
        </is>
      </c>
      <c r="J1" s="4" t="inlineStr">
        <is>
          <t>Other direct cost (USD)</t>
        </is>
      </c>
      <c r="K1" s="4" t="inlineStr">
        <is>
          <t>Acquisition cost (USD)</t>
        </is>
      </c>
      <c r="L1" s="4" t="inlineStr">
        <is>
          <t>Hours source (timer / calendar / estimate)</t>
        </is>
      </c>
      <c r="M1" s="4" t="inlineStr">
        <is>
          <t>Fee source (processor record / estimate)</t>
        </is>
      </c>
      <c r="N1" s="4" t="inlineStr">
        <is>
          <t>Total hours</t>
        </is>
      </c>
      <c r="O1" s="4" t="inlineStr">
        <is>
          <t>Rate</t>
        </is>
      </c>
      <c r="P1" s="4" t="inlineStr">
        <is>
          <t>Labor cost</t>
        </is>
      </c>
      <c r="Q1" s="4" t="inlineStr">
        <is>
          <t>Total cost</t>
        </is>
      </c>
      <c r="R1" s="4" t="inlineStr">
        <is>
          <t>Contribution</t>
        </is>
      </c>
      <c r="S1" s="4" t="inlineStr">
        <is>
          <t>Margin</t>
        </is>
      </c>
      <c r="T1" s="4" t="inlineStr">
        <is>
          <t>Clears 50%?</t>
        </is>
      </c>
      <c r="U1" s="4" t="inlineStr">
        <is>
          <t>Evidence</t>
        </is>
      </c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5">
        <f>IF(B2="","",SUM(F2:I2))</f>
        <v/>
      </c>
      <c r="O2" s="5">
        <f>IF(B2="","",IFERROR(INDEX(Targets!$E$4:$E$8,MATCH(B2,Targets!$A$4:$A$8,0)),"SKU?"))</f>
        <v/>
      </c>
      <c r="P2" s="5">
        <f>IF(B2="","",IFERROR(N2*O2,""))</f>
        <v/>
      </c>
      <c r="Q2" s="5">
        <f>IF(B2="","",IFERROR(P2+E2+J2+K2,""))</f>
        <v/>
      </c>
      <c r="R2" s="5">
        <f>IF(B2="","",IFERROR(D2-Q2,""))</f>
        <v/>
      </c>
      <c r="S2" s="6">
        <f>IF(B2="","",IFERROR(IF(D2&gt;0,R2/D2,""),""))</f>
        <v/>
      </c>
      <c r="T2" s="5">
        <f>IF(S2="","",IF(S2&gt;=Targets!$B$11,"YES","NO"))</f>
        <v/>
      </c>
      <c r="U2" s="5">
        <f>IF(B2="","",IF(AND(L2="timer",M2="processor record"),"MEASURED","PARTIAL"))</f>
        <v/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5">
        <f>IF(B3="","",SUM(F3:I3))</f>
        <v/>
      </c>
      <c r="O3" s="5">
        <f>IF(B3="","",IFERROR(INDEX(Targets!$E$4:$E$8,MATCH(B3,Targets!$A$4:$A$8,0)),"SKU?"))</f>
        <v/>
      </c>
      <c r="P3" s="5">
        <f>IF(B3="","",IFERROR(N3*O3,""))</f>
        <v/>
      </c>
      <c r="Q3" s="5">
        <f>IF(B3="","",IFERROR(P3+E3+J3+K3,""))</f>
        <v/>
      </c>
      <c r="R3" s="5">
        <f>IF(B3="","",IFERROR(D3-Q3,""))</f>
        <v/>
      </c>
      <c r="S3" s="6">
        <f>IF(B3="","",IFERROR(IF(D3&gt;0,R3/D3,""),""))</f>
        <v/>
      </c>
      <c r="T3" s="5">
        <f>IF(S3="","",IF(S3&gt;=Targets!$B$11,"YES","NO"))</f>
        <v/>
      </c>
      <c r="U3" s="5">
        <f>IF(B3="","",IF(AND(L3="timer",M3="processor record"),"MEASURED","PARTIAL"))</f>
        <v/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5">
        <f>IF(B4="","",SUM(F4:I4))</f>
        <v/>
      </c>
      <c r="O4" s="5">
        <f>IF(B4="","",IFERROR(INDEX(Targets!$E$4:$E$8,MATCH(B4,Targets!$A$4:$A$8,0)),"SKU?"))</f>
        <v/>
      </c>
      <c r="P4" s="5">
        <f>IF(B4="","",IFERROR(N4*O4,""))</f>
        <v/>
      </c>
      <c r="Q4" s="5">
        <f>IF(B4="","",IFERROR(P4+E4+J4+K4,""))</f>
        <v/>
      </c>
      <c r="R4" s="5">
        <f>IF(B4="","",IFERROR(D4-Q4,""))</f>
        <v/>
      </c>
      <c r="S4" s="6">
        <f>IF(B4="","",IFERROR(IF(D4&gt;0,R4/D4,""),""))</f>
        <v/>
      </c>
      <c r="T4" s="5">
        <f>IF(S4="","",IF(S4&gt;=Targets!$B$11,"YES","NO"))</f>
        <v/>
      </c>
      <c r="U4" s="5">
        <f>IF(B4="","",IF(AND(L4="timer",M4="processor record"),"MEASURED","PARTIAL"))</f>
        <v/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5">
        <f>IF(B5="","",SUM(F5:I5))</f>
        <v/>
      </c>
      <c r="O5" s="5">
        <f>IF(B5="","",IFERROR(INDEX(Targets!$E$4:$E$8,MATCH(B5,Targets!$A$4:$A$8,0)),"SKU?"))</f>
        <v/>
      </c>
      <c r="P5" s="5">
        <f>IF(B5="","",IFERROR(N5*O5,""))</f>
        <v/>
      </c>
      <c r="Q5" s="5">
        <f>IF(B5="","",IFERROR(P5+E5+J5+K5,""))</f>
        <v/>
      </c>
      <c r="R5" s="5">
        <f>IF(B5="","",IFERROR(D5-Q5,""))</f>
        <v/>
      </c>
      <c r="S5" s="6">
        <f>IF(B5="","",IFERROR(IF(D5&gt;0,R5/D5,""),""))</f>
        <v/>
      </c>
      <c r="T5" s="5">
        <f>IF(S5="","",IF(S5&gt;=Targets!$B$11,"YES","NO"))</f>
        <v/>
      </c>
      <c r="U5" s="5">
        <f>IF(B5="","",IF(AND(L5="timer",M5="processor record"),"MEASURED","PARTIAL"))</f>
        <v/>
      </c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5">
        <f>IF(B6="","",SUM(F6:I6))</f>
        <v/>
      </c>
      <c r="O6" s="5">
        <f>IF(B6="","",IFERROR(INDEX(Targets!$E$4:$E$8,MATCH(B6,Targets!$A$4:$A$8,0)),"SKU?"))</f>
        <v/>
      </c>
      <c r="P6" s="5">
        <f>IF(B6="","",IFERROR(N6*O6,""))</f>
        <v/>
      </c>
      <c r="Q6" s="5">
        <f>IF(B6="","",IFERROR(P6+E6+J6+K6,""))</f>
        <v/>
      </c>
      <c r="R6" s="5">
        <f>IF(B6="","",IFERROR(D6-Q6,""))</f>
        <v/>
      </c>
      <c r="S6" s="6">
        <f>IF(B6="","",IFERROR(IF(D6&gt;0,R6/D6,""),""))</f>
        <v/>
      </c>
      <c r="T6" s="5">
        <f>IF(S6="","",IF(S6&gt;=Targets!$B$11,"YES","NO"))</f>
        <v/>
      </c>
      <c r="U6" s="5">
        <f>IF(B6="","",IF(AND(L6="timer",M6="processor record"),"MEASURED","PARTIAL"))</f>
        <v/>
      </c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5">
        <f>IF(B7="","",SUM(F7:I7))</f>
        <v/>
      </c>
      <c r="O7" s="5">
        <f>IF(B7="","",IFERROR(INDEX(Targets!$E$4:$E$8,MATCH(B7,Targets!$A$4:$A$8,0)),"SKU?"))</f>
        <v/>
      </c>
      <c r="P7" s="5">
        <f>IF(B7="","",IFERROR(N7*O7,""))</f>
        <v/>
      </c>
      <c r="Q7" s="5">
        <f>IF(B7="","",IFERROR(P7+E7+J7+K7,""))</f>
        <v/>
      </c>
      <c r="R7" s="5">
        <f>IF(B7="","",IFERROR(D7-Q7,""))</f>
        <v/>
      </c>
      <c r="S7" s="6">
        <f>IF(B7="","",IFERROR(IF(D7&gt;0,R7/D7,""),""))</f>
        <v/>
      </c>
      <c r="T7" s="5">
        <f>IF(S7="","",IF(S7&gt;=Targets!$B$11,"YES","NO"))</f>
        <v/>
      </c>
      <c r="U7" s="5">
        <f>IF(B7="","",IF(AND(L7="timer",M7="processor record"),"MEASURED","PARTIAL"))</f>
        <v/>
      </c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5">
        <f>IF(B8="","",SUM(F8:I8))</f>
        <v/>
      </c>
      <c r="O8" s="5">
        <f>IF(B8="","",IFERROR(INDEX(Targets!$E$4:$E$8,MATCH(B8,Targets!$A$4:$A$8,0)),"SKU?"))</f>
        <v/>
      </c>
      <c r="P8" s="5">
        <f>IF(B8="","",IFERROR(N8*O8,""))</f>
        <v/>
      </c>
      <c r="Q8" s="5">
        <f>IF(B8="","",IFERROR(P8+E8+J8+K8,""))</f>
        <v/>
      </c>
      <c r="R8" s="5">
        <f>IF(B8="","",IFERROR(D8-Q8,""))</f>
        <v/>
      </c>
      <c r="S8" s="6">
        <f>IF(B8="","",IFERROR(IF(D8&gt;0,R8/D8,""),""))</f>
        <v/>
      </c>
      <c r="T8" s="5">
        <f>IF(S8="","",IF(S8&gt;=Targets!$B$11,"YES","NO"))</f>
        <v/>
      </c>
      <c r="U8" s="5">
        <f>IF(B8="","",IF(AND(L8="timer",M8="processor record"),"MEASURED","PARTIAL"))</f>
        <v/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5">
        <f>IF(B9="","",SUM(F9:I9))</f>
        <v/>
      </c>
      <c r="O9" s="5">
        <f>IF(B9="","",IFERROR(INDEX(Targets!$E$4:$E$8,MATCH(B9,Targets!$A$4:$A$8,0)),"SKU?"))</f>
        <v/>
      </c>
      <c r="P9" s="5">
        <f>IF(B9="","",IFERROR(N9*O9,""))</f>
        <v/>
      </c>
      <c r="Q9" s="5">
        <f>IF(B9="","",IFERROR(P9+E9+J9+K9,""))</f>
        <v/>
      </c>
      <c r="R9" s="5">
        <f>IF(B9="","",IFERROR(D9-Q9,""))</f>
        <v/>
      </c>
      <c r="S9" s="6">
        <f>IF(B9="","",IFERROR(IF(D9&gt;0,R9/D9,""),""))</f>
        <v/>
      </c>
      <c r="T9" s="5">
        <f>IF(S9="","",IF(S9&gt;=Targets!$B$11,"YES","NO"))</f>
        <v/>
      </c>
      <c r="U9" s="5">
        <f>IF(B9="","",IF(AND(L9="timer",M9="processor record"),"MEASURED","PARTIAL"))</f>
        <v/>
      </c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5">
        <f>IF(B10="","",SUM(F10:I10))</f>
        <v/>
      </c>
      <c r="O10" s="5">
        <f>IF(B10="","",IFERROR(INDEX(Targets!$E$4:$E$8,MATCH(B10,Targets!$A$4:$A$8,0)),"SKU?"))</f>
        <v/>
      </c>
      <c r="P10" s="5">
        <f>IF(B10="","",IFERROR(N10*O10,""))</f>
        <v/>
      </c>
      <c r="Q10" s="5">
        <f>IF(B10="","",IFERROR(P10+E10+J10+K10,""))</f>
        <v/>
      </c>
      <c r="R10" s="5">
        <f>IF(B10="","",IFERROR(D10-Q10,""))</f>
        <v/>
      </c>
      <c r="S10" s="6">
        <f>IF(B10="","",IFERROR(IF(D10&gt;0,R10/D10,""),""))</f>
        <v/>
      </c>
      <c r="T10" s="5">
        <f>IF(S10="","",IF(S10&gt;=Targets!$B$11,"YES","NO"))</f>
        <v/>
      </c>
      <c r="U10" s="5">
        <f>IF(B10="","",IF(AND(L10="timer",M10="processor record"),"MEASURED","PARTIAL"))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5">
        <f>IF(B11="","",SUM(F11:I11))</f>
        <v/>
      </c>
      <c r="O11" s="5">
        <f>IF(B11="","",IFERROR(INDEX(Targets!$E$4:$E$8,MATCH(B11,Targets!$A$4:$A$8,0)),"SKU?"))</f>
        <v/>
      </c>
      <c r="P11" s="5">
        <f>IF(B11="","",IFERROR(N11*O11,""))</f>
        <v/>
      </c>
      <c r="Q11" s="5">
        <f>IF(B11="","",IFERROR(P11+E11+J11+K11,""))</f>
        <v/>
      </c>
      <c r="R11" s="5">
        <f>IF(B11="","",IFERROR(D11-Q11,""))</f>
        <v/>
      </c>
      <c r="S11" s="6">
        <f>IF(B11="","",IFERROR(IF(D11&gt;0,R11/D11,""),""))</f>
        <v/>
      </c>
      <c r="T11" s="5">
        <f>IF(S11="","",IF(S11&gt;=Targets!$B$11,"YES","NO"))</f>
        <v/>
      </c>
      <c r="U11" s="5">
        <f>IF(B11="","",IF(AND(L11="timer",M11="processor record"),"MEASURED","PARTIAL"))</f>
        <v/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5">
        <f>IF(B12="","",SUM(F12:I12))</f>
        <v/>
      </c>
      <c r="O12" s="5">
        <f>IF(B12="","",IFERROR(INDEX(Targets!$E$4:$E$8,MATCH(B12,Targets!$A$4:$A$8,0)),"SKU?"))</f>
        <v/>
      </c>
      <c r="P12" s="5">
        <f>IF(B12="","",IFERROR(N12*O12,""))</f>
        <v/>
      </c>
      <c r="Q12" s="5">
        <f>IF(B12="","",IFERROR(P12+E12+J12+K12,""))</f>
        <v/>
      </c>
      <c r="R12" s="5">
        <f>IF(B12="","",IFERROR(D12-Q12,""))</f>
        <v/>
      </c>
      <c r="S12" s="6">
        <f>IF(B12="","",IFERROR(IF(D12&gt;0,R12/D12,""),""))</f>
        <v/>
      </c>
      <c r="T12" s="5">
        <f>IF(S12="","",IF(S12&gt;=Targets!$B$11,"YES","NO"))</f>
        <v/>
      </c>
      <c r="U12" s="5">
        <f>IF(B12="","",IF(AND(L12="timer",M12="processor record"),"MEASURED","PARTIAL"))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5">
        <f>IF(B13="","",SUM(F13:I13))</f>
        <v/>
      </c>
      <c r="O13" s="5">
        <f>IF(B13="","",IFERROR(INDEX(Targets!$E$4:$E$8,MATCH(B13,Targets!$A$4:$A$8,0)),"SKU?"))</f>
        <v/>
      </c>
      <c r="P13" s="5">
        <f>IF(B13="","",IFERROR(N13*O13,""))</f>
        <v/>
      </c>
      <c r="Q13" s="5">
        <f>IF(B13="","",IFERROR(P13+E13+J13+K13,""))</f>
        <v/>
      </c>
      <c r="R13" s="5">
        <f>IF(B13="","",IFERROR(D13-Q13,""))</f>
        <v/>
      </c>
      <c r="S13" s="6">
        <f>IF(B13="","",IFERROR(IF(D13&gt;0,R13/D13,""),""))</f>
        <v/>
      </c>
      <c r="T13" s="5">
        <f>IF(S13="","",IF(S13&gt;=Targets!$B$11,"YES","NO"))</f>
        <v/>
      </c>
      <c r="U13" s="5">
        <f>IF(B13="","",IF(AND(L13="timer",M13="processor record"),"MEASURED","PARTIAL"))</f>
        <v/>
      </c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5">
        <f>IF(B14="","",SUM(F14:I14))</f>
        <v/>
      </c>
      <c r="O14" s="5">
        <f>IF(B14="","",IFERROR(INDEX(Targets!$E$4:$E$8,MATCH(B14,Targets!$A$4:$A$8,0)),"SKU?"))</f>
        <v/>
      </c>
      <c r="P14" s="5">
        <f>IF(B14="","",IFERROR(N14*O14,""))</f>
        <v/>
      </c>
      <c r="Q14" s="5">
        <f>IF(B14="","",IFERROR(P14+E14+J14+K14,""))</f>
        <v/>
      </c>
      <c r="R14" s="5">
        <f>IF(B14="","",IFERROR(D14-Q14,""))</f>
        <v/>
      </c>
      <c r="S14" s="6">
        <f>IF(B14="","",IFERROR(IF(D14&gt;0,R14/D14,""),""))</f>
        <v/>
      </c>
      <c r="T14" s="5">
        <f>IF(S14="","",IF(S14&gt;=Targets!$B$11,"YES","NO"))</f>
        <v/>
      </c>
      <c r="U14" s="5">
        <f>IF(B14="","",IF(AND(L14="timer",M14="processor record"),"MEASURED","PARTIAL"))</f>
        <v/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5">
        <f>IF(B15="","",SUM(F15:I15))</f>
        <v/>
      </c>
      <c r="O15" s="5">
        <f>IF(B15="","",IFERROR(INDEX(Targets!$E$4:$E$8,MATCH(B15,Targets!$A$4:$A$8,0)),"SKU?"))</f>
        <v/>
      </c>
      <c r="P15" s="5">
        <f>IF(B15="","",IFERROR(N15*O15,""))</f>
        <v/>
      </c>
      <c r="Q15" s="5">
        <f>IF(B15="","",IFERROR(P15+E15+J15+K15,""))</f>
        <v/>
      </c>
      <c r="R15" s="5">
        <f>IF(B15="","",IFERROR(D15-Q15,""))</f>
        <v/>
      </c>
      <c r="S15" s="6">
        <f>IF(B15="","",IFERROR(IF(D15&gt;0,R15/D15,""),""))</f>
        <v/>
      </c>
      <c r="T15" s="5">
        <f>IF(S15="","",IF(S15&gt;=Targets!$B$11,"YES","NO"))</f>
        <v/>
      </c>
      <c r="U15" s="5">
        <f>IF(B15="","",IF(AND(L15="timer",M15="processor record"),"MEASURED","PARTIAL"))</f>
        <v/>
      </c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5">
        <f>IF(B16="","",SUM(F16:I16))</f>
        <v/>
      </c>
      <c r="O16" s="5">
        <f>IF(B16="","",IFERROR(INDEX(Targets!$E$4:$E$8,MATCH(B16,Targets!$A$4:$A$8,0)),"SKU?"))</f>
        <v/>
      </c>
      <c r="P16" s="5">
        <f>IF(B16="","",IFERROR(N16*O16,""))</f>
        <v/>
      </c>
      <c r="Q16" s="5">
        <f>IF(B16="","",IFERROR(P16+E16+J16+K16,""))</f>
        <v/>
      </c>
      <c r="R16" s="5">
        <f>IF(B16="","",IFERROR(D16-Q16,""))</f>
        <v/>
      </c>
      <c r="S16" s="6">
        <f>IF(B16="","",IFERROR(IF(D16&gt;0,R16/D16,""),""))</f>
        <v/>
      </c>
      <c r="T16" s="5">
        <f>IF(S16="","",IF(S16&gt;=Targets!$B$11,"YES","NO"))</f>
        <v/>
      </c>
      <c r="U16" s="5">
        <f>IF(B16="","",IF(AND(L16="timer",M16="processor record"),"MEASURED","PARTIAL"))</f>
        <v/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5">
        <f>IF(B17="","",SUM(F17:I17))</f>
        <v/>
      </c>
      <c r="O17" s="5">
        <f>IF(B17="","",IFERROR(INDEX(Targets!$E$4:$E$8,MATCH(B17,Targets!$A$4:$A$8,0)),"SKU?"))</f>
        <v/>
      </c>
      <c r="P17" s="5">
        <f>IF(B17="","",IFERROR(N17*O17,""))</f>
        <v/>
      </c>
      <c r="Q17" s="5">
        <f>IF(B17="","",IFERROR(P17+E17+J17+K17,""))</f>
        <v/>
      </c>
      <c r="R17" s="5">
        <f>IF(B17="","",IFERROR(D17-Q17,""))</f>
        <v/>
      </c>
      <c r="S17" s="6">
        <f>IF(B17="","",IFERROR(IF(D17&gt;0,R17/D17,""),""))</f>
        <v/>
      </c>
      <c r="T17" s="5">
        <f>IF(S17="","",IF(S17&gt;=Targets!$B$11,"YES","NO"))</f>
        <v/>
      </c>
      <c r="U17" s="5">
        <f>IF(B17="","",IF(AND(L17="timer",M17="processor record"),"MEASURED","PARTIAL"))</f>
        <v/>
      </c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5">
        <f>IF(B18="","",SUM(F18:I18))</f>
        <v/>
      </c>
      <c r="O18" s="5">
        <f>IF(B18="","",IFERROR(INDEX(Targets!$E$4:$E$8,MATCH(B18,Targets!$A$4:$A$8,0)),"SKU?"))</f>
        <v/>
      </c>
      <c r="P18" s="5">
        <f>IF(B18="","",IFERROR(N18*O18,""))</f>
        <v/>
      </c>
      <c r="Q18" s="5">
        <f>IF(B18="","",IFERROR(P18+E18+J18+K18,""))</f>
        <v/>
      </c>
      <c r="R18" s="5">
        <f>IF(B18="","",IFERROR(D18-Q18,""))</f>
        <v/>
      </c>
      <c r="S18" s="6">
        <f>IF(B18="","",IFERROR(IF(D18&gt;0,R18/D18,""),""))</f>
        <v/>
      </c>
      <c r="T18" s="5">
        <f>IF(S18="","",IF(S18&gt;=Targets!$B$11,"YES","NO"))</f>
        <v/>
      </c>
      <c r="U18" s="5">
        <f>IF(B18="","",IF(AND(L18="timer",M18="processor record"),"MEASURED","PARTIAL"))</f>
        <v/>
      </c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5">
        <f>IF(B19="","",SUM(F19:I19))</f>
        <v/>
      </c>
      <c r="O19" s="5">
        <f>IF(B19="","",IFERROR(INDEX(Targets!$E$4:$E$8,MATCH(B19,Targets!$A$4:$A$8,0)),"SKU?"))</f>
        <v/>
      </c>
      <c r="P19" s="5">
        <f>IF(B19="","",IFERROR(N19*O19,""))</f>
        <v/>
      </c>
      <c r="Q19" s="5">
        <f>IF(B19="","",IFERROR(P19+E19+J19+K19,""))</f>
        <v/>
      </c>
      <c r="R19" s="5">
        <f>IF(B19="","",IFERROR(D19-Q19,""))</f>
        <v/>
      </c>
      <c r="S19" s="6">
        <f>IF(B19="","",IFERROR(IF(D19&gt;0,R19/D19,""),""))</f>
        <v/>
      </c>
      <c r="T19" s="5">
        <f>IF(S19="","",IF(S19&gt;=Targets!$B$11,"YES","NO"))</f>
        <v/>
      </c>
      <c r="U19" s="5">
        <f>IF(B19="","",IF(AND(L19="timer",M19="processor record"),"MEASURED","PARTIAL"))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5">
        <f>IF(B20="","",SUM(F20:I20))</f>
        <v/>
      </c>
      <c r="O20" s="5">
        <f>IF(B20="","",IFERROR(INDEX(Targets!$E$4:$E$8,MATCH(B20,Targets!$A$4:$A$8,0)),"SKU?"))</f>
        <v/>
      </c>
      <c r="P20" s="5">
        <f>IF(B20="","",IFERROR(N20*O20,""))</f>
        <v/>
      </c>
      <c r="Q20" s="5">
        <f>IF(B20="","",IFERROR(P20+E20+J20+K20,""))</f>
        <v/>
      </c>
      <c r="R20" s="5">
        <f>IF(B20="","",IFERROR(D20-Q20,""))</f>
        <v/>
      </c>
      <c r="S20" s="6">
        <f>IF(B20="","",IFERROR(IF(D20&gt;0,R20/D20,""),""))</f>
        <v/>
      </c>
      <c r="T20" s="5">
        <f>IF(S20="","",IF(S20&gt;=Targets!$B$11,"YES","NO"))</f>
        <v/>
      </c>
      <c r="U20" s="5">
        <f>IF(B20="","",IF(AND(L20="timer",M20="processor record"),"MEASURED","PARTIAL"))</f>
        <v/>
      </c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5">
        <f>IF(B21="","",SUM(F21:I21))</f>
        <v/>
      </c>
      <c r="O21" s="5">
        <f>IF(B21="","",IFERROR(INDEX(Targets!$E$4:$E$8,MATCH(B21,Targets!$A$4:$A$8,0)),"SKU?"))</f>
        <v/>
      </c>
      <c r="P21" s="5">
        <f>IF(B21="","",IFERROR(N21*O21,""))</f>
        <v/>
      </c>
      <c r="Q21" s="5">
        <f>IF(B21="","",IFERROR(P21+E21+J21+K21,""))</f>
        <v/>
      </c>
      <c r="R21" s="5">
        <f>IF(B21="","",IFERROR(D21-Q21,""))</f>
        <v/>
      </c>
      <c r="S21" s="6">
        <f>IF(B21="","",IFERROR(IF(D21&gt;0,R21/D21,""),""))</f>
        <v/>
      </c>
      <c r="T21" s="5">
        <f>IF(S21="","",IF(S21&gt;=Targets!$B$11,"YES","NO"))</f>
        <v/>
      </c>
      <c r="U21" s="5">
        <f>IF(B21="","",IF(AND(L21="timer",M21="processor record"),"MEASURED","PARTIAL"))</f>
        <v/>
      </c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5">
        <f>IF(B22="","",SUM(F22:I22))</f>
        <v/>
      </c>
      <c r="O22" s="5">
        <f>IF(B22="","",IFERROR(INDEX(Targets!$E$4:$E$8,MATCH(B22,Targets!$A$4:$A$8,0)),"SKU?"))</f>
        <v/>
      </c>
      <c r="P22" s="5">
        <f>IF(B22="","",IFERROR(N22*O22,""))</f>
        <v/>
      </c>
      <c r="Q22" s="5">
        <f>IF(B22="","",IFERROR(P22+E22+J22+K22,""))</f>
        <v/>
      </c>
      <c r="R22" s="5">
        <f>IF(B22="","",IFERROR(D22-Q22,""))</f>
        <v/>
      </c>
      <c r="S22" s="6">
        <f>IF(B22="","",IFERROR(IF(D22&gt;0,R22/D22,""),""))</f>
        <v/>
      </c>
      <c r="T22" s="5">
        <f>IF(S22="","",IF(S22&gt;=Targets!$B$11,"YES","NO"))</f>
        <v/>
      </c>
      <c r="U22" s="5">
        <f>IF(B22="","",IF(AND(L22="timer",M22="processor record"),"MEASURED","PARTIAL"))</f>
        <v/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5">
        <f>IF(B23="","",SUM(F23:I23))</f>
        <v/>
      </c>
      <c r="O23" s="5">
        <f>IF(B23="","",IFERROR(INDEX(Targets!$E$4:$E$8,MATCH(B23,Targets!$A$4:$A$8,0)),"SKU?"))</f>
        <v/>
      </c>
      <c r="P23" s="5">
        <f>IF(B23="","",IFERROR(N23*O23,""))</f>
        <v/>
      </c>
      <c r="Q23" s="5">
        <f>IF(B23="","",IFERROR(P23+E23+J23+K23,""))</f>
        <v/>
      </c>
      <c r="R23" s="5">
        <f>IF(B23="","",IFERROR(D23-Q23,""))</f>
        <v/>
      </c>
      <c r="S23" s="6">
        <f>IF(B23="","",IFERROR(IF(D23&gt;0,R23/D23,""),""))</f>
        <v/>
      </c>
      <c r="T23" s="5">
        <f>IF(S23="","",IF(S23&gt;=Targets!$B$11,"YES","NO"))</f>
        <v/>
      </c>
      <c r="U23" s="5">
        <f>IF(B23="","",IF(AND(L23="timer",M23="processor record"),"MEASURED","PARTIAL"))</f>
        <v/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5">
        <f>IF(B24="","",SUM(F24:I24))</f>
        <v/>
      </c>
      <c r="O24" s="5">
        <f>IF(B24="","",IFERROR(INDEX(Targets!$E$4:$E$8,MATCH(B24,Targets!$A$4:$A$8,0)),"SKU?"))</f>
        <v/>
      </c>
      <c r="P24" s="5">
        <f>IF(B24="","",IFERROR(N24*O24,""))</f>
        <v/>
      </c>
      <c r="Q24" s="5">
        <f>IF(B24="","",IFERROR(P24+E24+J24+K24,""))</f>
        <v/>
      </c>
      <c r="R24" s="5">
        <f>IF(B24="","",IFERROR(D24-Q24,""))</f>
        <v/>
      </c>
      <c r="S24" s="6">
        <f>IF(B24="","",IFERROR(IF(D24&gt;0,R24/D24,""),""))</f>
        <v/>
      </c>
      <c r="T24" s="5">
        <f>IF(S24="","",IF(S24&gt;=Targets!$B$11,"YES","NO"))</f>
        <v/>
      </c>
      <c r="U24" s="5">
        <f>IF(B24="","",IF(AND(L24="timer",M24="processor record"),"MEASURED","PARTIAL"))</f>
        <v/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5">
        <f>IF(B25="","",SUM(F25:I25))</f>
        <v/>
      </c>
      <c r="O25" s="5">
        <f>IF(B25="","",IFERROR(INDEX(Targets!$E$4:$E$8,MATCH(B25,Targets!$A$4:$A$8,0)),"SKU?"))</f>
        <v/>
      </c>
      <c r="P25" s="5">
        <f>IF(B25="","",IFERROR(N25*O25,""))</f>
        <v/>
      </c>
      <c r="Q25" s="5">
        <f>IF(B25="","",IFERROR(P25+E25+J25+K25,""))</f>
        <v/>
      </c>
      <c r="R25" s="5">
        <f>IF(B25="","",IFERROR(D25-Q25,""))</f>
        <v/>
      </c>
      <c r="S25" s="6">
        <f>IF(B25="","",IFERROR(IF(D25&gt;0,R25/D25,""),""))</f>
        <v/>
      </c>
      <c r="T25" s="5">
        <f>IF(S25="","",IF(S25&gt;=Targets!$B$11,"YES","NO"))</f>
        <v/>
      </c>
      <c r="U25" s="5">
        <f>IF(B25="","",IF(AND(L25="timer",M25="processor record"),"MEASURED","PARTIAL"))</f>
        <v/>
      </c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5">
        <f>IF(B26="","",SUM(F26:I26))</f>
        <v/>
      </c>
      <c r="O26" s="5">
        <f>IF(B26="","",IFERROR(INDEX(Targets!$E$4:$E$8,MATCH(B26,Targets!$A$4:$A$8,0)),"SKU?"))</f>
        <v/>
      </c>
      <c r="P26" s="5">
        <f>IF(B26="","",IFERROR(N26*O26,""))</f>
        <v/>
      </c>
      <c r="Q26" s="5">
        <f>IF(B26="","",IFERROR(P26+E26+J26+K26,""))</f>
        <v/>
      </c>
      <c r="R26" s="5">
        <f>IF(B26="","",IFERROR(D26-Q26,""))</f>
        <v/>
      </c>
      <c r="S26" s="6">
        <f>IF(B26="","",IFERROR(IF(D26&gt;0,R26/D26,""),""))</f>
        <v/>
      </c>
      <c r="T26" s="5">
        <f>IF(S26="","",IF(S26&gt;=Targets!$B$11,"YES","NO"))</f>
        <v/>
      </c>
      <c r="U26" s="5">
        <f>IF(B26="","",IF(AND(L26="timer",M26="processor record"),"MEASURED","PARTIAL"))</f>
        <v/>
      </c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5">
        <f>IF(B27="","",SUM(F27:I27))</f>
        <v/>
      </c>
      <c r="O27" s="5">
        <f>IF(B27="","",IFERROR(INDEX(Targets!$E$4:$E$8,MATCH(B27,Targets!$A$4:$A$8,0)),"SKU?"))</f>
        <v/>
      </c>
      <c r="P27" s="5">
        <f>IF(B27="","",IFERROR(N27*O27,""))</f>
        <v/>
      </c>
      <c r="Q27" s="5">
        <f>IF(B27="","",IFERROR(P27+E27+J27+K27,""))</f>
        <v/>
      </c>
      <c r="R27" s="5">
        <f>IF(B27="","",IFERROR(D27-Q27,""))</f>
        <v/>
      </c>
      <c r="S27" s="6">
        <f>IF(B27="","",IFERROR(IF(D27&gt;0,R27/D27,""),""))</f>
        <v/>
      </c>
      <c r="T27" s="5">
        <f>IF(S27="","",IF(S27&gt;=Targets!$B$11,"YES","NO"))</f>
        <v/>
      </c>
      <c r="U27" s="5">
        <f>IF(B27="","",IF(AND(L27="timer",M27="processor record"),"MEASURED","PARTIAL"))</f>
        <v/>
      </c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5">
        <f>IF(B28="","",SUM(F28:I28))</f>
        <v/>
      </c>
      <c r="O28" s="5">
        <f>IF(B28="","",IFERROR(INDEX(Targets!$E$4:$E$8,MATCH(B28,Targets!$A$4:$A$8,0)),"SKU?"))</f>
        <v/>
      </c>
      <c r="P28" s="5">
        <f>IF(B28="","",IFERROR(N28*O28,""))</f>
        <v/>
      </c>
      <c r="Q28" s="5">
        <f>IF(B28="","",IFERROR(P28+E28+J28+K28,""))</f>
        <v/>
      </c>
      <c r="R28" s="5">
        <f>IF(B28="","",IFERROR(D28-Q28,""))</f>
        <v/>
      </c>
      <c r="S28" s="6">
        <f>IF(B28="","",IFERROR(IF(D28&gt;0,R28/D28,""),""))</f>
        <v/>
      </c>
      <c r="T28" s="5">
        <f>IF(S28="","",IF(S28&gt;=Targets!$B$11,"YES","NO"))</f>
        <v/>
      </c>
      <c r="U28" s="5">
        <f>IF(B28="","",IF(AND(L28="timer",M28="processor record"),"MEASURED","PARTIAL"))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5">
        <f>IF(B29="","",SUM(F29:I29))</f>
        <v/>
      </c>
      <c r="O29" s="5">
        <f>IF(B29="","",IFERROR(INDEX(Targets!$E$4:$E$8,MATCH(B29,Targets!$A$4:$A$8,0)),"SKU?"))</f>
        <v/>
      </c>
      <c r="P29" s="5">
        <f>IF(B29="","",IFERROR(N29*O29,""))</f>
        <v/>
      </c>
      <c r="Q29" s="5">
        <f>IF(B29="","",IFERROR(P29+E29+J29+K29,""))</f>
        <v/>
      </c>
      <c r="R29" s="5">
        <f>IF(B29="","",IFERROR(D29-Q29,""))</f>
        <v/>
      </c>
      <c r="S29" s="6">
        <f>IF(B29="","",IFERROR(IF(D29&gt;0,R29/D29,""),""))</f>
        <v/>
      </c>
      <c r="T29" s="5">
        <f>IF(S29="","",IF(S29&gt;=Targets!$B$11,"YES","NO"))</f>
        <v/>
      </c>
      <c r="U29" s="5">
        <f>IF(B29="","",IF(AND(L29="timer",M29="processor record"),"MEASURED","PARTIAL"))</f>
        <v/>
      </c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5">
        <f>IF(B30="","",SUM(F30:I30))</f>
        <v/>
      </c>
      <c r="O30" s="5">
        <f>IF(B30="","",IFERROR(INDEX(Targets!$E$4:$E$8,MATCH(B30,Targets!$A$4:$A$8,0)),"SKU?"))</f>
        <v/>
      </c>
      <c r="P30" s="5">
        <f>IF(B30="","",IFERROR(N30*O30,""))</f>
        <v/>
      </c>
      <c r="Q30" s="5">
        <f>IF(B30="","",IFERROR(P30+E30+J30+K30,""))</f>
        <v/>
      </c>
      <c r="R30" s="5">
        <f>IF(B30="","",IFERROR(D30-Q30,""))</f>
        <v/>
      </c>
      <c r="S30" s="6">
        <f>IF(B30="","",IFERROR(IF(D30&gt;0,R30/D30,""),""))</f>
        <v/>
      </c>
      <c r="T30" s="5">
        <f>IF(S30="","",IF(S30&gt;=Targets!$B$11,"YES","NO"))</f>
        <v/>
      </c>
      <c r="U30" s="5">
        <f>IF(B30="","",IF(AND(L30="timer",M30="processor record"),"MEASURED","PARTIAL"))</f>
        <v/>
      </c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5">
        <f>IF(B31="","",SUM(F31:I31))</f>
        <v/>
      </c>
      <c r="O31" s="5">
        <f>IF(B31="","",IFERROR(INDEX(Targets!$E$4:$E$8,MATCH(B31,Targets!$A$4:$A$8,0)),"SKU?"))</f>
        <v/>
      </c>
      <c r="P31" s="5">
        <f>IF(B31="","",IFERROR(N31*O31,""))</f>
        <v/>
      </c>
      <c r="Q31" s="5">
        <f>IF(B31="","",IFERROR(P31+E31+J31+K31,""))</f>
        <v/>
      </c>
      <c r="R31" s="5">
        <f>IF(B31="","",IFERROR(D31-Q31,""))</f>
        <v/>
      </c>
      <c r="S31" s="6">
        <f>IF(B31="","",IFERROR(IF(D31&gt;0,R31/D31,""),""))</f>
        <v/>
      </c>
      <c r="T31" s="5">
        <f>IF(S31="","",IF(S31&gt;=Targets!$B$11,"YES","NO"))</f>
        <v/>
      </c>
      <c r="U31" s="5">
        <f>IF(B31="","",IF(AND(L31="timer",M31="processor record"),"MEASURED","PARTIAL"))</f>
        <v/>
      </c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5">
        <f>IF(B32="","",SUM(F32:I32))</f>
        <v/>
      </c>
      <c r="O32" s="5">
        <f>IF(B32="","",IFERROR(INDEX(Targets!$E$4:$E$8,MATCH(B32,Targets!$A$4:$A$8,0)),"SKU?"))</f>
        <v/>
      </c>
      <c r="P32" s="5">
        <f>IF(B32="","",IFERROR(N32*O32,""))</f>
        <v/>
      </c>
      <c r="Q32" s="5">
        <f>IF(B32="","",IFERROR(P32+E32+J32+K32,""))</f>
        <v/>
      </c>
      <c r="R32" s="5">
        <f>IF(B32="","",IFERROR(D32-Q32,""))</f>
        <v/>
      </c>
      <c r="S32" s="6">
        <f>IF(B32="","",IFERROR(IF(D32&gt;0,R32/D32,""),""))</f>
        <v/>
      </c>
      <c r="T32" s="5">
        <f>IF(S32="","",IF(S32&gt;=Targets!$B$11,"YES","NO"))</f>
        <v/>
      </c>
      <c r="U32" s="5">
        <f>IF(B32="","",IF(AND(L32="timer",M32="processor record"),"MEASURED","PARTIAL"))</f>
        <v/>
      </c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5">
        <f>IF(B33="","",SUM(F33:I33))</f>
        <v/>
      </c>
      <c r="O33" s="5">
        <f>IF(B33="","",IFERROR(INDEX(Targets!$E$4:$E$8,MATCH(B33,Targets!$A$4:$A$8,0)),"SKU?"))</f>
        <v/>
      </c>
      <c r="P33" s="5">
        <f>IF(B33="","",IFERROR(N33*O33,""))</f>
        <v/>
      </c>
      <c r="Q33" s="5">
        <f>IF(B33="","",IFERROR(P33+E33+J33+K33,""))</f>
        <v/>
      </c>
      <c r="R33" s="5">
        <f>IF(B33="","",IFERROR(D33-Q33,""))</f>
        <v/>
      </c>
      <c r="S33" s="6">
        <f>IF(B33="","",IFERROR(IF(D33&gt;0,R33/D33,""),""))</f>
        <v/>
      </c>
      <c r="T33" s="5">
        <f>IF(S33="","",IF(S33&gt;=Targets!$B$11,"YES","NO"))</f>
        <v/>
      </c>
      <c r="U33" s="5">
        <f>IF(B33="","",IF(AND(L33="timer",M33="processor record"),"MEASURED","PARTIAL"))</f>
        <v/>
      </c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5">
        <f>IF(B34="","",SUM(F34:I34))</f>
        <v/>
      </c>
      <c r="O34" s="5">
        <f>IF(B34="","",IFERROR(INDEX(Targets!$E$4:$E$8,MATCH(B34,Targets!$A$4:$A$8,0)),"SKU?"))</f>
        <v/>
      </c>
      <c r="P34" s="5">
        <f>IF(B34="","",IFERROR(N34*O34,""))</f>
        <v/>
      </c>
      <c r="Q34" s="5">
        <f>IF(B34="","",IFERROR(P34+E34+J34+K34,""))</f>
        <v/>
      </c>
      <c r="R34" s="5">
        <f>IF(B34="","",IFERROR(D34-Q34,""))</f>
        <v/>
      </c>
      <c r="S34" s="6">
        <f>IF(B34="","",IFERROR(IF(D34&gt;0,R34/D34,""),""))</f>
        <v/>
      </c>
      <c r="T34" s="5">
        <f>IF(S34="","",IF(S34&gt;=Targets!$B$11,"YES","NO"))</f>
        <v/>
      </c>
      <c r="U34" s="5">
        <f>IF(B34="","",IF(AND(L34="timer",M34="processor record"),"MEASURED","PARTIAL"))</f>
        <v/>
      </c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5">
        <f>IF(B35="","",SUM(F35:I35))</f>
        <v/>
      </c>
      <c r="O35" s="5">
        <f>IF(B35="","",IFERROR(INDEX(Targets!$E$4:$E$8,MATCH(B35,Targets!$A$4:$A$8,0)),"SKU?"))</f>
        <v/>
      </c>
      <c r="P35" s="5">
        <f>IF(B35="","",IFERROR(N35*O35,""))</f>
        <v/>
      </c>
      <c r="Q35" s="5">
        <f>IF(B35="","",IFERROR(P35+E35+J35+K35,""))</f>
        <v/>
      </c>
      <c r="R35" s="5">
        <f>IF(B35="","",IFERROR(D35-Q35,""))</f>
        <v/>
      </c>
      <c r="S35" s="6">
        <f>IF(B35="","",IFERROR(IF(D35&gt;0,R35/D35,""),""))</f>
        <v/>
      </c>
      <c r="T35" s="5">
        <f>IF(S35="","",IF(S35&gt;=Targets!$B$11,"YES","NO"))</f>
        <v/>
      </c>
      <c r="U35" s="5">
        <f>IF(B35="","",IF(AND(L35="timer",M35="processor record"),"MEASURED","PARTIAL"))</f>
        <v/>
      </c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5">
        <f>IF(B36="","",SUM(F36:I36))</f>
        <v/>
      </c>
      <c r="O36" s="5">
        <f>IF(B36="","",IFERROR(INDEX(Targets!$E$4:$E$8,MATCH(B36,Targets!$A$4:$A$8,0)),"SKU?"))</f>
        <v/>
      </c>
      <c r="P36" s="5">
        <f>IF(B36="","",IFERROR(N36*O36,""))</f>
        <v/>
      </c>
      <c r="Q36" s="5">
        <f>IF(B36="","",IFERROR(P36+E36+J36+K36,""))</f>
        <v/>
      </c>
      <c r="R36" s="5">
        <f>IF(B36="","",IFERROR(D36-Q36,""))</f>
        <v/>
      </c>
      <c r="S36" s="6">
        <f>IF(B36="","",IFERROR(IF(D36&gt;0,R36/D36,""),""))</f>
        <v/>
      </c>
      <c r="T36" s="5">
        <f>IF(S36="","",IF(S36&gt;=Targets!$B$11,"YES","NO"))</f>
        <v/>
      </c>
      <c r="U36" s="5">
        <f>IF(B36="","",IF(AND(L36="timer",M36="processor record"),"MEASURED","PARTIAL"))</f>
        <v/>
      </c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5">
        <f>IF(B37="","",SUM(F37:I37))</f>
        <v/>
      </c>
      <c r="O37" s="5">
        <f>IF(B37="","",IFERROR(INDEX(Targets!$E$4:$E$8,MATCH(B37,Targets!$A$4:$A$8,0)),"SKU?"))</f>
        <v/>
      </c>
      <c r="P37" s="5">
        <f>IF(B37="","",IFERROR(N37*O37,""))</f>
        <v/>
      </c>
      <c r="Q37" s="5">
        <f>IF(B37="","",IFERROR(P37+E37+J37+K37,""))</f>
        <v/>
      </c>
      <c r="R37" s="5">
        <f>IF(B37="","",IFERROR(D37-Q37,""))</f>
        <v/>
      </c>
      <c r="S37" s="6">
        <f>IF(B37="","",IFERROR(IF(D37&gt;0,R37/D37,""),""))</f>
        <v/>
      </c>
      <c r="T37" s="5">
        <f>IF(S37="","",IF(S37&gt;=Targets!$B$11,"YES","NO"))</f>
        <v/>
      </c>
      <c r="U37" s="5">
        <f>IF(B37="","",IF(AND(L37="timer",M37="processor record"),"MEASURED","PARTIAL"))</f>
        <v/>
      </c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5">
        <f>IF(B38="","",SUM(F38:I38))</f>
        <v/>
      </c>
      <c r="O38" s="5">
        <f>IF(B38="","",IFERROR(INDEX(Targets!$E$4:$E$8,MATCH(B38,Targets!$A$4:$A$8,0)),"SKU?"))</f>
        <v/>
      </c>
      <c r="P38" s="5">
        <f>IF(B38="","",IFERROR(N38*O38,""))</f>
        <v/>
      </c>
      <c r="Q38" s="5">
        <f>IF(B38="","",IFERROR(P38+E38+J38+K38,""))</f>
        <v/>
      </c>
      <c r="R38" s="5">
        <f>IF(B38="","",IFERROR(D38-Q38,""))</f>
        <v/>
      </c>
      <c r="S38" s="6">
        <f>IF(B38="","",IFERROR(IF(D38&gt;0,R38/D38,""),""))</f>
        <v/>
      </c>
      <c r="T38" s="5">
        <f>IF(S38="","",IF(S38&gt;=Targets!$B$11,"YES","NO"))</f>
        <v/>
      </c>
      <c r="U38" s="5">
        <f>IF(B38="","",IF(AND(L38="timer",M38="processor record"),"MEASURED","PARTIAL"))</f>
        <v/>
      </c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5">
        <f>IF(B39="","",SUM(F39:I39))</f>
        <v/>
      </c>
      <c r="O39" s="5">
        <f>IF(B39="","",IFERROR(INDEX(Targets!$E$4:$E$8,MATCH(B39,Targets!$A$4:$A$8,0)),"SKU?"))</f>
        <v/>
      </c>
      <c r="P39" s="5">
        <f>IF(B39="","",IFERROR(N39*O39,""))</f>
        <v/>
      </c>
      <c r="Q39" s="5">
        <f>IF(B39="","",IFERROR(P39+E39+J39+K39,""))</f>
        <v/>
      </c>
      <c r="R39" s="5">
        <f>IF(B39="","",IFERROR(D39-Q39,""))</f>
        <v/>
      </c>
      <c r="S39" s="6">
        <f>IF(B39="","",IFERROR(IF(D39&gt;0,R39/D39,""),""))</f>
        <v/>
      </c>
      <c r="T39" s="5">
        <f>IF(S39="","",IF(S39&gt;=Targets!$B$11,"YES","NO"))</f>
        <v/>
      </c>
      <c r="U39" s="5">
        <f>IF(B39="","",IF(AND(L39="timer",M39="processor record"),"MEASURED","PARTIAL"))</f>
        <v/>
      </c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5">
        <f>IF(B40="","",SUM(F40:I40))</f>
        <v/>
      </c>
      <c r="O40" s="5">
        <f>IF(B40="","",IFERROR(INDEX(Targets!$E$4:$E$8,MATCH(B40,Targets!$A$4:$A$8,0)),"SKU?"))</f>
        <v/>
      </c>
      <c r="P40" s="5">
        <f>IF(B40="","",IFERROR(N40*O40,""))</f>
        <v/>
      </c>
      <c r="Q40" s="5">
        <f>IF(B40="","",IFERROR(P40+E40+J40+K40,""))</f>
        <v/>
      </c>
      <c r="R40" s="5">
        <f>IF(B40="","",IFERROR(D40-Q40,""))</f>
        <v/>
      </c>
      <c r="S40" s="6">
        <f>IF(B40="","",IFERROR(IF(D40&gt;0,R40/D40,""),""))</f>
        <v/>
      </c>
      <c r="T40" s="5">
        <f>IF(S40="","",IF(S40&gt;=Targets!$B$11,"YES","NO"))</f>
        <v/>
      </c>
      <c r="U40" s="5">
        <f>IF(B40="","",IF(AND(L40="timer",M40="processor record"),"MEASURED","PARTIAL"))</f>
        <v/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5">
        <f>IF(B41="","",SUM(F41:I41))</f>
        <v/>
      </c>
      <c r="O41" s="5">
        <f>IF(B41="","",IFERROR(INDEX(Targets!$E$4:$E$8,MATCH(B41,Targets!$A$4:$A$8,0)),"SKU?"))</f>
        <v/>
      </c>
      <c r="P41" s="5">
        <f>IF(B41="","",IFERROR(N41*O41,""))</f>
        <v/>
      </c>
      <c r="Q41" s="5">
        <f>IF(B41="","",IFERROR(P41+E41+J41+K41,""))</f>
        <v/>
      </c>
      <c r="R41" s="5">
        <f>IF(B41="","",IFERROR(D41-Q41,""))</f>
        <v/>
      </c>
      <c r="S41" s="6">
        <f>IF(B41="","",IFERROR(IF(D41&gt;0,R41/D41,""),""))</f>
        <v/>
      </c>
      <c r="T41" s="5">
        <f>IF(S41="","",IF(S41&gt;=Targets!$B$11,"YES","NO"))</f>
        <v/>
      </c>
      <c r="U41" s="5">
        <f>IF(B41="","",IF(AND(L41="timer",M41="processor record"),"MEASURED","PARTIAL"))</f>
        <v/>
      </c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5">
        <f>IF(B42="","",SUM(F42:I42))</f>
        <v/>
      </c>
      <c r="O42" s="5">
        <f>IF(B42="","",IFERROR(INDEX(Targets!$E$4:$E$8,MATCH(B42,Targets!$A$4:$A$8,0)),"SKU?"))</f>
        <v/>
      </c>
      <c r="P42" s="5">
        <f>IF(B42="","",IFERROR(N42*O42,""))</f>
        <v/>
      </c>
      <c r="Q42" s="5">
        <f>IF(B42="","",IFERROR(P42+E42+J42+K42,""))</f>
        <v/>
      </c>
      <c r="R42" s="5">
        <f>IF(B42="","",IFERROR(D42-Q42,""))</f>
        <v/>
      </c>
      <c r="S42" s="6">
        <f>IF(B42="","",IFERROR(IF(D42&gt;0,R42/D42,""),""))</f>
        <v/>
      </c>
      <c r="T42" s="5">
        <f>IF(S42="","",IF(S42&gt;=Targets!$B$11,"YES","NO"))</f>
        <v/>
      </c>
      <c r="U42" s="5">
        <f>IF(B42="","",IF(AND(L42="timer",M42="processor record"),"MEASURED","PARTIAL"))</f>
        <v/>
      </c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5">
        <f>IF(B43="","",SUM(F43:I43))</f>
        <v/>
      </c>
      <c r="O43" s="5">
        <f>IF(B43="","",IFERROR(INDEX(Targets!$E$4:$E$8,MATCH(B43,Targets!$A$4:$A$8,0)),"SKU?"))</f>
        <v/>
      </c>
      <c r="P43" s="5">
        <f>IF(B43="","",IFERROR(N43*O43,""))</f>
        <v/>
      </c>
      <c r="Q43" s="5">
        <f>IF(B43="","",IFERROR(P43+E43+J43+K43,""))</f>
        <v/>
      </c>
      <c r="R43" s="5">
        <f>IF(B43="","",IFERROR(D43-Q43,""))</f>
        <v/>
      </c>
      <c r="S43" s="6">
        <f>IF(B43="","",IFERROR(IF(D43&gt;0,R43/D43,""),""))</f>
        <v/>
      </c>
      <c r="T43" s="5">
        <f>IF(S43="","",IF(S43&gt;=Targets!$B$11,"YES","NO"))</f>
        <v/>
      </c>
      <c r="U43" s="5">
        <f>IF(B43="","",IF(AND(L43="timer",M43="processor record"),"MEASURED","PARTIAL"))</f>
        <v/>
      </c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5">
        <f>IF(B44="","",SUM(F44:I44))</f>
        <v/>
      </c>
      <c r="O44" s="5">
        <f>IF(B44="","",IFERROR(INDEX(Targets!$E$4:$E$8,MATCH(B44,Targets!$A$4:$A$8,0)),"SKU?"))</f>
        <v/>
      </c>
      <c r="P44" s="5">
        <f>IF(B44="","",IFERROR(N44*O44,""))</f>
        <v/>
      </c>
      <c r="Q44" s="5">
        <f>IF(B44="","",IFERROR(P44+E44+J44+K44,""))</f>
        <v/>
      </c>
      <c r="R44" s="5">
        <f>IF(B44="","",IFERROR(D44-Q44,""))</f>
        <v/>
      </c>
      <c r="S44" s="6">
        <f>IF(B44="","",IFERROR(IF(D44&gt;0,R44/D44,""),""))</f>
        <v/>
      </c>
      <c r="T44" s="5">
        <f>IF(S44="","",IF(S44&gt;=Targets!$B$11,"YES","NO"))</f>
        <v/>
      </c>
      <c r="U44" s="5">
        <f>IF(B44="","",IF(AND(L44="timer",M44="processor record"),"MEASURED","PARTIAL"))</f>
        <v/>
      </c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5">
        <f>IF(B45="","",SUM(F45:I45))</f>
        <v/>
      </c>
      <c r="O45" s="5">
        <f>IF(B45="","",IFERROR(INDEX(Targets!$E$4:$E$8,MATCH(B45,Targets!$A$4:$A$8,0)),"SKU?"))</f>
        <v/>
      </c>
      <c r="P45" s="5">
        <f>IF(B45="","",IFERROR(N45*O45,""))</f>
        <v/>
      </c>
      <c r="Q45" s="5">
        <f>IF(B45="","",IFERROR(P45+E45+J45+K45,""))</f>
        <v/>
      </c>
      <c r="R45" s="5">
        <f>IF(B45="","",IFERROR(D45-Q45,""))</f>
        <v/>
      </c>
      <c r="S45" s="6">
        <f>IF(B45="","",IFERROR(IF(D45&gt;0,R45/D45,""),""))</f>
        <v/>
      </c>
      <c r="T45" s="5">
        <f>IF(S45="","",IF(S45&gt;=Targets!$B$11,"YES","NO"))</f>
        <v/>
      </c>
      <c r="U45" s="5">
        <f>IF(B45="","",IF(AND(L45="timer",M45="processor record"),"MEASURED","PARTIAL"))</f>
        <v/>
      </c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5">
        <f>IF(B46="","",SUM(F46:I46))</f>
        <v/>
      </c>
      <c r="O46" s="5">
        <f>IF(B46="","",IFERROR(INDEX(Targets!$E$4:$E$8,MATCH(B46,Targets!$A$4:$A$8,0)),"SKU?"))</f>
        <v/>
      </c>
      <c r="P46" s="5">
        <f>IF(B46="","",IFERROR(N46*O46,""))</f>
        <v/>
      </c>
      <c r="Q46" s="5">
        <f>IF(B46="","",IFERROR(P46+E46+J46+K46,""))</f>
        <v/>
      </c>
      <c r="R46" s="5">
        <f>IF(B46="","",IFERROR(D46-Q46,""))</f>
        <v/>
      </c>
      <c r="S46" s="6">
        <f>IF(B46="","",IFERROR(IF(D46&gt;0,R46/D46,""),""))</f>
        <v/>
      </c>
      <c r="T46" s="5">
        <f>IF(S46="","",IF(S46&gt;=Targets!$B$11,"YES","NO"))</f>
        <v/>
      </c>
      <c r="U46" s="5">
        <f>IF(B46="","",IF(AND(L46="timer",M46="processor record"),"MEASURED","PARTIAL"))</f>
        <v/>
      </c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5">
        <f>IF(B47="","",SUM(F47:I47))</f>
        <v/>
      </c>
      <c r="O47" s="5">
        <f>IF(B47="","",IFERROR(INDEX(Targets!$E$4:$E$8,MATCH(B47,Targets!$A$4:$A$8,0)),"SKU?"))</f>
        <v/>
      </c>
      <c r="P47" s="5">
        <f>IF(B47="","",IFERROR(N47*O47,""))</f>
        <v/>
      </c>
      <c r="Q47" s="5">
        <f>IF(B47="","",IFERROR(P47+E47+J47+K47,""))</f>
        <v/>
      </c>
      <c r="R47" s="5">
        <f>IF(B47="","",IFERROR(D47-Q47,""))</f>
        <v/>
      </c>
      <c r="S47" s="6">
        <f>IF(B47="","",IFERROR(IF(D47&gt;0,R47/D47,""),""))</f>
        <v/>
      </c>
      <c r="T47" s="5">
        <f>IF(S47="","",IF(S47&gt;=Targets!$B$11,"YES","NO"))</f>
        <v/>
      </c>
      <c r="U47" s="5">
        <f>IF(B47="","",IF(AND(L47="timer",M47="processor record"),"MEASURED","PARTIAL"))</f>
        <v/>
      </c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5">
        <f>IF(B48="","",SUM(F48:I48))</f>
        <v/>
      </c>
      <c r="O48" s="5">
        <f>IF(B48="","",IFERROR(INDEX(Targets!$E$4:$E$8,MATCH(B48,Targets!$A$4:$A$8,0)),"SKU?"))</f>
        <v/>
      </c>
      <c r="P48" s="5">
        <f>IF(B48="","",IFERROR(N48*O48,""))</f>
        <v/>
      </c>
      <c r="Q48" s="5">
        <f>IF(B48="","",IFERROR(P48+E48+J48+K48,""))</f>
        <v/>
      </c>
      <c r="R48" s="5">
        <f>IF(B48="","",IFERROR(D48-Q48,""))</f>
        <v/>
      </c>
      <c r="S48" s="6">
        <f>IF(B48="","",IFERROR(IF(D48&gt;0,R48/D48,""),""))</f>
        <v/>
      </c>
      <c r="T48" s="5">
        <f>IF(S48="","",IF(S48&gt;=Targets!$B$11,"YES","NO"))</f>
        <v/>
      </c>
      <c r="U48" s="5">
        <f>IF(B48="","",IF(AND(L48="timer",M48="processor record"),"MEASURED","PARTIAL"))</f>
        <v/>
      </c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5">
        <f>IF(B49="","",SUM(F49:I49))</f>
        <v/>
      </c>
      <c r="O49" s="5">
        <f>IF(B49="","",IFERROR(INDEX(Targets!$E$4:$E$8,MATCH(B49,Targets!$A$4:$A$8,0)),"SKU?"))</f>
        <v/>
      </c>
      <c r="P49" s="5">
        <f>IF(B49="","",IFERROR(N49*O49,""))</f>
        <v/>
      </c>
      <c r="Q49" s="5">
        <f>IF(B49="","",IFERROR(P49+E49+J49+K49,""))</f>
        <v/>
      </c>
      <c r="R49" s="5">
        <f>IF(B49="","",IFERROR(D49-Q49,""))</f>
        <v/>
      </c>
      <c r="S49" s="6">
        <f>IF(B49="","",IFERROR(IF(D49&gt;0,R49/D49,""),""))</f>
        <v/>
      </c>
      <c r="T49" s="5">
        <f>IF(S49="","",IF(S49&gt;=Targets!$B$11,"YES","NO"))</f>
        <v/>
      </c>
      <c r="U49" s="5">
        <f>IF(B49="","",IF(AND(L49="timer",M49="processor record"),"MEASURED","PARTIAL"))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5">
        <f>IF(B50="","",SUM(F50:I50))</f>
        <v/>
      </c>
      <c r="O50" s="5">
        <f>IF(B50="","",IFERROR(INDEX(Targets!$E$4:$E$8,MATCH(B50,Targets!$A$4:$A$8,0)),"SKU?"))</f>
        <v/>
      </c>
      <c r="P50" s="5">
        <f>IF(B50="","",IFERROR(N50*O50,""))</f>
        <v/>
      </c>
      <c r="Q50" s="5">
        <f>IF(B50="","",IFERROR(P50+E50+J50+K50,""))</f>
        <v/>
      </c>
      <c r="R50" s="5">
        <f>IF(B50="","",IFERROR(D50-Q50,""))</f>
        <v/>
      </c>
      <c r="S50" s="6">
        <f>IF(B50="","",IFERROR(IF(D50&gt;0,R50/D50,""),""))</f>
        <v/>
      </c>
      <c r="T50" s="5">
        <f>IF(S50="","",IF(S50&gt;=Targets!$B$11,"YES","NO"))</f>
        <v/>
      </c>
      <c r="U50" s="5">
        <f>IF(B50="","",IF(AND(L50="timer",M50="processor record"),"MEASURED","PARTIAL"))</f>
        <v/>
      </c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5">
        <f>IF(B51="","",SUM(F51:I51))</f>
        <v/>
      </c>
      <c r="O51" s="5">
        <f>IF(B51="","",IFERROR(INDEX(Targets!$E$4:$E$8,MATCH(B51,Targets!$A$4:$A$8,0)),"SKU?"))</f>
        <v/>
      </c>
      <c r="P51" s="5">
        <f>IF(B51="","",IFERROR(N51*O51,""))</f>
        <v/>
      </c>
      <c r="Q51" s="5">
        <f>IF(B51="","",IFERROR(P51+E51+J51+K51,""))</f>
        <v/>
      </c>
      <c r="R51" s="5">
        <f>IF(B51="","",IFERROR(D51-Q51,""))</f>
        <v/>
      </c>
      <c r="S51" s="6">
        <f>IF(B51="","",IFERROR(IF(D51&gt;0,R51/D51,""),""))</f>
        <v/>
      </c>
      <c r="T51" s="5">
        <f>IF(S51="","",IF(S51&gt;=Targets!$B$11,"YES","NO"))</f>
        <v/>
      </c>
      <c r="U51" s="5">
        <f>IF(B51="","",IF(AND(L51="timer",M51="processor record"),"MEASURED","PARTIAL"))</f>
        <v/>
      </c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5">
        <f>IF(B52="","",SUM(F52:I52))</f>
        <v/>
      </c>
      <c r="O52" s="5">
        <f>IF(B52="","",IFERROR(INDEX(Targets!$E$4:$E$8,MATCH(B52,Targets!$A$4:$A$8,0)),"SKU?"))</f>
        <v/>
      </c>
      <c r="P52" s="5">
        <f>IF(B52="","",IFERROR(N52*O52,""))</f>
        <v/>
      </c>
      <c r="Q52" s="5">
        <f>IF(B52="","",IFERROR(P52+E52+J52+K52,""))</f>
        <v/>
      </c>
      <c r="R52" s="5">
        <f>IF(B52="","",IFERROR(D52-Q52,""))</f>
        <v/>
      </c>
      <c r="S52" s="6">
        <f>IF(B52="","",IFERROR(IF(D52&gt;0,R52/D52,""),""))</f>
        <v/>
      </c>
      <c r="T52" s="5">
        <f>IF(S52="","",IF(S52&gt;=Targets!$B$11,"YES","NO"))</f>
        <v/>
      </c>
      <c r="U52" s="5">
        <f>IF(B52="","",IF(AND(L52="timer",M52="processor record"),"MEASURED","PARTIAL"))</f>
        <v/>
      </c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5">
        <f>IF(B53="","",SUM(F53:I53))</f>
        <v/>
      </c>
      <c r="O53" s="5">
        <f>IF(B53="","",IFERROR(INDEX(Targets!$E$4:$E$8,MATCH(B53,Targets!$A$4:$A$8,0)),"SKU?"))</f>
        <v/>
      </c>
      <c r="P53" s="5">
        <f>IF(B53="","",IFERROR(N53*O53,""))</f>
        <v/>
      </c>
      <c r="Q53" s="5">
        <f>IF(B53="","",IFERROR(P53+E53+J53+K53,""))</f>
        <v/>
      </c>
      <c r="R53" s="5">
        <f>IF(B53="","",IFERROR(D53-Q53,""))</f>
        <v/>
      </c>
      <c r="S53" s="6">
        <f>IF(B53="","",IFERROR(IF(D53&gt;0,R53/D53,""),""))</f>
        <v/>
      </c>
      <c r="T53" s="5">
        <f>IF(S53="","",IF(S53&gt;=Targets!$B$11,"YES","NO"))</f>
        <v/>
      </c>
      <c r="U53" s="5">
        <f>IF(B53="","",IF(AND(L53="timer",M53="processor record"),"MEASURED","PARTIAL"))</f>
        <v/>
      </c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5">
        <f>IF(B54="","",SUM(F54:I54))</f>
        <v/>
      </c>
      <c r="O54" s="5">
        <f>IF(B54="","",IFERROR(INDEX(Targets!$E$4:$E$8,MATCH(B54,Targets!$A$4:$A$8,0)),"SKU?"))</f>
        <v/>
      </c>
      <c r="P54" s="5">
        <f>IF(B54="","",IFERROR(N54*O54,""))</f>
        <v/>
      </c>
      <c r="Q54" s="5">
        <f>IF(B54="","",IFERROR(P54+E54+J54+K54,""))</f>
        <v/>
      </c>
      <c r="R54" s="5">
        <f>IF(B54="","",IFERROR(D54-Q54,""))</f>
        <v/>
      </c>
      <c r="S54" s="6">
        <f>IF(B54="","",IFERROR(IF(D54&gt;0,R54/D54,""),""))</f>
        <v/>
      </c>
      <c r="T54" s="5">
        <f>IF(S54="","",IF(S54&gt;=Targets!$B$11,"YES","NO"))</f>
        <v/>
      </c>
      <c r="U54" s="5">
        <f>IF(B54="","",IF(AND(L54="timer",M54="processor record"),"MEASURED","PARTIAL"))</f>
        <v/>
      </c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5">
        <f>IF(B55="","",SUM(F55:I55))</f>
        <v/>
      </c>
      <c r="O55" s="5">
        <f>IF(B55="","",IFERROR(INDEX(Targets!$E$4:$E$8,MATCH(B55,Targets!$A$4:$A$8,0)),"SKU?"))</f>
        <v/>
      </c>
      <c r="P55" s="5">
        <f>IF(B55="","",IFERROR(N55*O55,""))</f>
        <v/>
      </c>
      <c r="Q55" s="5">
        <f>IF(B55="","",IFERROR(P55+E55+J55+K55,""))</f>
        <v/>
      </c>
      <c r="R55" s="5">
        <f>IF(B55="","",IFERROR(D55-Q55,""))</f>
        <v/>
      </c>
      <c r="S55" s="6">
        <f>IF(B55="","",IFERROR(IF(D55&gt;0,R55/D55,""),""))</f>
        <v/>
      </c>
      <c r="T55" s="5">
        <f>IF(S55="","",IF(S55&gt;=Targets!$B$11,"YES","NO"))</f>
        <v/>
      </c>
      <c r="U55" s="5">
        <f>IF(B55="","",IF(AND(L55="timer",M55="processor record"),"MEASURED","PARTIAL"))</f>
        <v/>
      </c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5">
        <f>IF(B56="","",SUM(F56:I56))</f>
        <v/>
      </c>
      <c r="O56" s="5">
        <f>IF(B56="","",IFERROR(INDEX(Targets!$E$4:$E$8,MATCH(B56,Targets!$A$4:$A$8,0)),"SKU?"))</f>
        <v/>
      </c>
      <c r="P56" s="5">
        <f>IF(B56="","",IFERROR(N56*O56,""))</f>
        <v/>
      </c>
      <c r="Q56" s="5">
        <f>IF(B56="","",IFERROR(P56+E56+J56+K56,""))</f>
        <v/>
      </c>
      <c r="R56" s="5">
        <f>IF(B56="","",IFERROR(D56-Q56,""))</f>
        <v/>
      </c>
      <c r="S56" s="6">
        <f>IF(B56="","",IFERROR(IF(D56&gt;0,R56/D56,""),""))</f>
        <v/>
      </c>
      <c r="T56" s="5">
        <f>IF(S56="","",IF(S56&gt;=Targets!$B$11,"YES","NO"))</f>
        <v/>
      </c>
      <c r="U56" s="5">
        <f>IF(B56="","",IF(AND(L56="timer",M56="processor record"),"MEASURED","PARTIAL"))</f>
        <v/>
      </c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5">
        <f>IF(B57="","",SUM(F57:I57))</f>
        <v/>
      </c>
      <c r="O57" s="5">
        <f>IF(B57="","",IFERROR(INDEX(Targets!$E$4:$E$8,MATCH(B57,Targets!$A$4:$A$8,0)),"SKU?"))</f>
        <v/>
      </c>
      <c r="P57" s="5">
        <f>IF(B57="","",IFERROR(N57*O57,""))</f>
        <v/>
      </c>
      <c r="Q57" s="5">
        <f>IF(B57="","",IFERROR(P57+E57+J57+K57,""))</f>
        <v/>
      </c>
      <c r="R57" s="5">
        <f>IF(B57="","",IFERROR(D57-Q57,""))</f>
        <v/>
      </c>
      <c r="S57" s="6">
        <f>IF(B57="","",IFERROR(IF(D57&gt;0,R57/D57,""),""))</f>
        <v/>
      </c>
      <c r="T57" s="5">
        <f>IF(S57="","",IF(S57&gt;=Targets!$B$11,"YES","NO"))</f>
        <v/>
      </c>
      <c r="U57" s="5">
        <f>IF(B57="","",IF(AND(L57="timer",M57="processor record"),"MEASURED","PARTIAL"))</f>
        <v/>
      </c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5">
        <f>IF(B58="","",SUM(F58:I58))</f>
        <v/>
      </c>
      <c r="O58" s="5">
        <f>IF(B58="","",IFERROR(INDEX(Targets!$E$4:$E$8,MATCH(B58,Targets!$A$4:$A$8,0)),"SKU?"))</f>
        <v/>
      </c>
      <c r="P58" s="5">
        <f>IF(B58="","",IFERROR(N58*O58,""))</f>
        <v/>
      </c>
      <c r="Q58" s="5">
        <f>IF(B58="","",IFERROR(P58+E58+J58+K58,""))</f>
        <v/>
      </c>
      <c r="R58" s="5">
        <f>IF(B58="","",IFERROR(D58-Q58,""))</f>
        <v/>
      </c>
      <c r="S58" s="6">
        <f>IF(B58="","",IFERROR(IF(D58&gt;0,R58/D58,""),""))</f>
        <v/>
      </c>
      <c r="T58" s="5">
        <f>IF(S58="","",IF(S58&gt;=Targets!$B$11,"YES","NO"))</f>
        <v/>
      </c>
      <c r="U58" s="5">
        <f>IF(B58="","",IF(AND(L58="timer",M58="processor record"),"MEASURED","PARTIAL"))</f>
        <v/>
      </c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5">
        <f>IF(B59="","",SUM(F59:I59))</f>
        <v/>
      </c>
      <c r="O59" s="5">
        <f>IF(B59="","",IFERROR(INDEX(Targets!$E$4:$E$8,MATCH(B59,Targets!$A$4:$A$8,0)),"SKU?"))</f>
        <v/>
      </c>
      <c r="P59" s="5">
        <f>IF(B59="","",IFERROR(N59*O59,""))</f>
        <v/>
      </c>
      <c r="Q59" s="5">
        <f>IF(B59="","",IFERROR(P59+E59+J59+K59,""))</f>
        <v/>
      </c>
      <c r="R59" s="5">
        <f>IF(B59="","",IFERROR(D59-Q59,""))</f>
        <v/>
      </c>
      <c r="S59" s="6">
        <f>IF(B59="","",IFERROR(IF(D59&gt;0,R59/D59,""),""))</f>
        <v/>
      </c>
      <c r="T59" s="5">
        <f>IF(S59="","",IF(S59&gt;=Targets!$B$11,"YES","NO"))</f>
        <v/>
      </c>
      <c r="U59" s="5">
        <f>IF(B59="","",IF(AND(L59="timer",M59="processor record"),"MEASURED","PARTIAL"))</f>
        <v/>
      </c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5">
        <f>IF(B60="","",SUM(F60:I60))</f>
        <v/>
      </c>
      <c r="O60" s="5">
        <f>IF(B60="","",IFERROR(INDEX(Targets!$E$4:$E$8,MATCH(B60,Targets!$A$4:$A$8,0)),"SKU?"))</f>
        <v/>
      </c>
      <c r="P60" s="5">
        <f>IF(B60="","",IFERROR(N60*O60,""))</f>
        <v/>
      </c>
      <c r="Q60" s="5">
        <f>IF(B60="","",IFERROR(P60+E60+J60+K60,""))</f>
        <v/>
      </c>
      <c r="R60" s="5">
        <f>IF(B60="","",IFERROR(D60-Q60,""))</f>
        <v/>
      </c>
      <c r="S60" s="6">
        <f>IF(B60="","",IFERROR(IF(D60&gt;0,R60/D60,""),""))</f>
        <v/>
      </c>
      <c r="T60" s="5">
        <f>IF(S60="","",IF(S60&gt;=Targets!$B$11,"YES","NO"))</f>
        <v/>
      </c>
      <c r="U60" s="5">
        <f>IF(B60="","",IF(AND(L60="timer",M60="processor record"),"MEASURED","PARTIAL"))</f>
        <v/>
      </c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5">
        <f>IF(B61="","",SUM(F61:I61))</f>
        <v/>
      </c>
      <c r="O61" s="5">
        <f>IF(B61="","",IFERROR(INDEX(Targets!$E$4:$E$8,MATCH(B61,Targets!$A$4:$A$8,0)),"SKU?"))</f>
        <v/>
      </c>
      <c r="P61" s="5">
        <f>IF(B61="","",IFERROR(N61*O61,""))</f>
        <v/>
      </c>
      <c r="Q61" s="5">
        <f>IF(B61="","",IFERROR(P61+E61+J61+K61,""))</f>
        <v/>
      </c>
      <c r="R61" s="5">
        <f>IF(B61="","",IFERROR(D61-Q61,""))</f>
        <v/>
      </c>
      <c r="S61" s="6">
        <f>IF(B61="","",IFERROR(IF(D61&gt;0,R61/D61,""),""))</f>
        <v/>
      </c>
      <c r="T61" s="5">
        <f>IF(S61="","",IF(S61&gt;=Targets!$B$11,"YES","NO"))</f>
        <v/>
      </c>
      <c r="U61" s="5">
        <f>IF(B61="","",IF(AND(L61="timer",M61="processor record"),"MEASURED","PARTIAL"))</f>
        <v/>
      </c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5">
        <f>IF(B62="","",SUM(F62:I62))</f>
        <v/>
      </c>
      <c r="O62" s="5">
        <f>IF(B62="","",IFERROR(INDEX(Targets!$E$4:$E$8,MATCH(B62,Targets!$A$4:$A$8,0)),"SKU?"))</f>
        <v/>
      </c>
      <c r="P62" s="5">
        <f>IF(B62="","",IFERROR(N62*O62,""))</f>
        <v/>
      </c>
      <c r="Q62" s="5">
        <f>IF(B62="","",IFERROR(P62+E62+J62+K62,""))</f>
        <v/>
      </c>
      <c r="R62" s="5">
        <f>IF(B62="","",IFERROR(D62-Q62,""))</f>
        <v/>
      </c>
      <c r="S62" s="6">
        <f>IF(B62="","",IFERROR(IF(D62&gt;0,R62/D62,""),""))</f>
        <v/>
      </c>
      <c r="T62" s="5">
        <f>IF(S62="","",IF(S62&gt;=Targets!$B$11,"YES","NO"))</f>
        <v/>
      </c>
      <c r="U62" s="5">
        <f>IF(B62="","",IF(AND(L62="timer",M62="processor record"),"MEASURED","PARTIAL"))</f>
        <v/>
      </c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5">
        <f>IF(B63="","",SUM(F63:I63))</f>
        <v/>
      </c>
      <c r="O63" s="5">
        <f>IF(B63="","",IFERROR(INDEX(Targets!$E$4:$E$8,MATCH(B63,Targets!$A$4:$A$8,0)),"SKU?"))</f>
        <v/>
      </c>
      <c r="P63" s="5">
        <f>IF(B63="","",IFERROR(N63*O63,""))</f>
        <v/>
      </c>
      <c r="Q63" s="5">
        <f>IF(B63="","",IFERROR(P63+E63+J63+K63,""))</f>
        <v/>
      </c>
      <c r="R63" s="5">
        <f>IF(B63="","",IFERROR(D63-Q63,""))</f>
        <v/>
      </c>
      <c r="S63" s="6">
        <f>IF(B63="","",IFERROR(IF(D63&gt;0,R63/D63,""),""))</f>
        <v/>
      </c>
      <c r="T63" s="5">
        <f>IF(S63="","",IF(S63&gt;=Targets!$B$11,"YES","NO"))</f>
        <v/>
      </c>
      <c r="U63" s="5">
        <f>IF(B63="","",IF(AND(L63="timer",M63="processor record"),"MEASURED","PARTIAL"))</f>
        <v/>
      </c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5">
        <f>IF(B64="","",SUM(F64:I64))</f>
        <v/>
      </c>
      <c r="O64" s="5">
        <f>IF(B64="","",IFERROR(INDEX(Targets!$E$4:$E$8,MATCH(B64,Targets!$A$4:$A$8,0)),"SKU?"))</f>
        <v/>
      </c>
      <c r="P64" s="5">
        <f>IF(B64="","",IFERROR(N64*O64,""))</f>
        <v/>
      </c>
      <c r="Q64" s="5">
        <f>IF(B64="","",IFERROR(P64+E64+J64+K64,""))</f>
        <v/>
      </c>
      <c r="R64" s="5">
        <f>IF(B64="","",IFERROR(D64-Q64,""))</f>
        <v/>
      </c>
      <c r="S64" s="6">
        <f>IF(B64="","",IFERROR(IF(D64&gt;0,R64/D64,""),""))</f>
        <v/>
      </c>
      <c r="T64" s="5">
        <f>IF(S64="","",IF(S64&gt;=Targets!$B$11,"YES","NO"))</f>
        <v/>
      </c>
      <c r="U64" s="5">
        <f>IF(B64="","",IF(AND(L64="timer",M64="processor record"),"MEASURED","PARTIAL"))</f>
        <v/>
      </c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5">
        <f>IF(B65="","",SUM(F65:I65))</f>
        <v/>
      </c>
      <c r="O65" s="5">
        <f>IF(B65="","",IFERROR(INDEX(Targets!$E$4:$E$8,MATCH(B65,Targets!$A$4:$A$8,0)),"SKU?"))</f>
        <v/>
      </c>
      <c r="P65" s="5">
        <f>IF(B65="","",IFERROR(N65*O65,""))</f>
        <v/>
      </c>
      <c r="Q65" s="5">
        <f>IF(B65="","",IFERROR(P65+E65+J65+K65,""))</f>
        <v/>
      </c>
      <c r="R65" s="5">
        <f>IF(B65="","",IFERROR(D65-Q65,""))</f>
        <v/>
      </c>
      <c r="S65" s="6">
        <f>IF(B65="","",IFERROR(IF(D65&gt;0,R65/D65,""),""))</f>
        <v/>
      </c>
      <c r="T65" s="5">
        <f>IF(S65="","",IF(S65&gt;=Targets!$B$11,"YES","NO"))</f>
        <v/>
      </c>
      <c r="U65" s="5">
        <f>IF(B65="","",IF(AND(L65="timer",M65="processor record"),"MEASURED","PARTIAL"))</f>
        <v/>
      </c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5">
        <f>IF(B66="","",SUM(F66:I66))</f>
        <v/>
      </c>
      <c r="O66" s="5">
        <f>IF(B66="","",IFERROR(INDEX(Targets!$E$4:$E$8,MATCH(B66,Targets!$A$4:$A$8,0)),"SKU?"))</f>
        <v/>
      </c>
      <c r="P66" s="5">
        <f>IF(B66="","",IFERROR(N66*O66,""))</f>
        <v/>
      </c>
      <c r="Q66" s="5">
        <f>IF(B66="","",IFERROR(P66+E66+J66+K66,""))</f>
        <v/>
      </c>
      <c r="R66" s="5">
        <f>IF(B66="","",IFERROR(D66-Q66,""))</f>
        <v/>
      </c>
      <c r="S66" s="6">
        <f>IF(B66="","",IFERROR(IF(D66&gt;0,R66/D66,""),""))</f>
        <v/>
      </c>
      <c r="T66" s="5">
        <f>IF(S66="","",IF(S66&gt;=Targets!$B$11,"YES","NO"))</f>
        <v/>
      </c>
      <c r="U66" s="5">
        <f>IF(B66="","",IF(AND(L66="timer",M66="processor record"),"MEASURED","PARTIAL"))</f>
        <v/>
      </c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5">
        <f>IF(B67="","",SUM(F67:I67))</f>
        <v/>
      </c>
      <c r="O67" s="5">
        <f>IF(B67="","",IFERROR(INDEX(Targets!$E$4:$E$8,MATCH(B67,Targets!$A$4:$A$8,0)),"SKU?"))</f>
        <v/>
      </c>
      <c r="P67" s="5">
        <f>IF(B67="","",IFERROR(N67*O67,""))</f>
        <v/>
      </c>
      <c r="Q67" s="5">
        <f>IF(B67="","",IFERROR(P67+E67+J67+K67,""))</f>
        <v/>
      </c>
      <c r="R67" s="5">
        <f>IF(B67="","",IFERROR(D67-Q67,""))</f>
        <v/>
      </c>
      <c r="S67" s="6">
        <f>IF(B67="","",IFERROR(IF(D67&gt;0,R67/D67,""),""))</f>
        <v/>
      </c>
      <c r="T67" s="5">
        <f>IF(S67="","",IF(S67&gt;=Targets!$B$11,"YES","NO"))</f>
        <v/>
      </c>
      <c r="U67" s="5">
        <f>IF(B67="","",IF(AND(L67="timer",M67="processor record"),"MEASURED","PARTIAL"))</f>
        <v/>
      </c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5">
        <f>IF(B68="","",SUM(F68:I68))</f>
        <v/>
      </c>
      <c r="O68" s="5">
        <f>IF(B68="","",IFERROR(INDEX(Targets!$E$4:$E$8,MATCH(B68,Targets!$A$4:$A$8,0)),"SKU?"))</f>
        <v/>
      </c>
      <c r="P68" s="5">
        <f>IF(B68="","",IFERROR(N68*O68,""))</f>
        <v/>
      </c>
      <c r="Q68" s="5">
        <f>IF(B68="","",IFERROR(P68+E68+J68+K68,""))</f>
        <v/>
      </c>
      <c r="R68" s="5">
        <f>IF(B68="","",IFERROR(D68-Q68,""))</f>
        <v/>
      </c>
      <c r="S68" s="6">
        <f>IF(B68="","",IFERROR(IF(D68&gt;0,R68/D68,""),""))</f>
        <v/>
      </c>
      <c r="T68" s="5">
        <f>IF(S68="","",IF(S68&gt;=Targets!$B$11,"YES","NO"))</f>
        <v/>
      </c>
      <c r="U68" s="5">
        <f>IF(B68="","",IF(AND(L68="timer",M68="processor record"),"MEASURED","PARTIAL"))</f>
        <v/>
      </c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5">
        <f>IF(B69="","",SUM(F69:I69))</f>
        <v/>
      </c>
      <c r="O69" s="5">
        <f>IF(B69="","",IFERROR(INDEX(Targets!$E$4:$E$8,MATCH(B69,Targets!$A$4:$A$8,0)),"SKU?"))</f>
        <v/>
      </c>
      <c r="P69" s="5">
        <f>IF(B69="","",IFERROR(N69*O69,""))</f>
        <v/>
      </c>
      <c r="Q69" s="5">
        <f>IF(B69="","",IFERROR(P69+E69+J69+K69,""))</f>
        <v/>
      </c>
      <c r="R69" s="5">
        <f>IF(B69="","",IFERROR(D69-Q69,""))</f>
        <v/>
      </c>
      <c r="S69" s="6">
        <f>IF(B69="","",IFERROR(IF(D69&gt;0,R69/D69,""),""))</f>
        <v/>
      </c>
      <c r="T69" s="5">
        <f>IF(S69="","",IF(S69&gt;=Targets!$B$11,"YES","NO"))</f>
        <v/>
      </c>
      <c r="U69" s="5">
        <f>IF(B69="","",IF(AND(L69="timer",M69="processor record"),"MEASURED","PARTIAL"))</f>
        <v/>
      </c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5">
        <f>IF(B70="","",SUM(F70:I70))</f>
        <v/>
      </c>
      <c r="O70" s="5">
        <f>IF(B70="","",IFERROR(INDEX(Targets!$E$4:$E$8,MATCH(B70,Targets!$A$4:$A$8,0)),"SKU?"))</f>
        <v/>
      </c>
      <c r="P70" s="5">
        <f>IF(B70="","",IFERROR(N70*O70,""))</f>
        <v/>
      </c>
      <c r="Q70" s="5">
        <f>IF(B70="","",IFERROR(P70+E70+J70+K70,""))</f>
        <v/>
      </c>
      <c r="R70" s="5">
        <f>IF(B70="","",IFERROR(D70-Q70,""))</f>
        <v/>
      </c>
      <c r="S70" s="6">
        <f>IF(B70="","",IFERROR(IF(D70&gt;0,R70/D70,""),""))</f>
        <v/>
      </c>
      <c r="T70" s="5">
        <f>IF(S70="","",IF(S70&gt;=Targets!$B$11,"YES","NO"))</f>
        <v/>
      </c>
      <c r="U70" s="5">
        <f>IF(B70="","",IF(AND(L70="timer",M70="processor record"),"MEASURED","PARTIAL"))</f>
        <v/>
      </c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5">
        <f>IF(B71="","",SUM(F71:I71))</f>
        <v/>
      </c>
      <c r="O71" s="5">
        <f>IF(B71="","",IFERROR(INDEX(Targets!$E$4:$E$8,MATCH(B71,Targets!$A$4:$A$8,0)),"SKU?"))</f>
        <v/>
      </c>
      <c r="P71" s="5">
        <f>IF(B71="","",IFERROR(N71*O71,""))</f>
        <v/>
      </c>
      <c r="Q71" s="5">
        <f>IF(B71="","",IFERROR(P71+E71+J71+K71,""))</f>
        <v/>
      </c>
      <c r="R71" s="5">
        <f>IF(B71="","",IFERROR(D71-Q71,""))</f>
        <v/>
      </c>
      <c r="S71" s="6">
        <f>IF(B71="","",IFERROR(IF(D71&gt;0,R71/D71,""),""))</f>
        <v/>
      </c>
      <c r="T71" s="5">
        <f>IF(S71="","",IF(S71&gt;=Targets!$B$11,"YES","NO"))</f>
        <v/>
      </c>
      <c r="U71" s="5">
        <f>IF(B71="","",IF(AND(L71="timer",M71="processor record"),"MEASURED","PARTIAL"))</f>
        <v/>
      </c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5">
        <f>IF(B72="","",SUM(F72:I72))</f>
        <v/>
      </c>
      <c r="O72" s="5">
        <f>IF(B72="","",IFERROR(INDEX(Targets!$E$4:$E$8,MATCH(B72,Targets!$A$4:$A$8,0)),"SKU?"))</f>
        <v/>
      </c>
      <c r="P72" s="5">
        <f>IF(B72="","",IFERROR(N72*O72,""))</f>
        <v/>
      </c>
      <c r="Q72" s="5">
        <f>IF(B72="","",IFERROR(P72+E72+J72+K72,""))</f>
        <v/>
      </c>
      <c r="R72" s="5">
        <f>IF(B72="","",IFERROR(D72-Q72,""))</f>
        <v/>
      </c>
      <c r="S72" s="6">
        <f>IF(B72="","",IFERROR(IF(D72&gt;0,R72/D72,""),""))</f>
        <v/>
      </c>
      <c r="T72" s="5">
        <f>IF(S72="","",IF(S72&gt;=Targets!$B$11,"YES","NO"))</f>
        <v/>
      </c>
      <c r="U72" s="5">
        <f>IF(B72="","",IF(AND(L72="timer",M72="processor record"),"MEASURED","PARTIAL"))</f>
        <v/>
      </c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5">
        <f>IF(B73="","",SUM(F73:I73))</f>
        <v/>
      </c>
      <c r="O73" s="5">
        <f>IF(B73="","",IFERROR(INDEX(Targets!$E$4:$E$8,MATCH(B73,Targets!$A$4:$A$8,0)),"SKU?"))</f>
        <v/>
      </c>
      <c r="P73" s="5">
        <f>IF(B73="","",IFERROR(N73*O73,""))</f>
        <v/>
      </c>
      <c r="Q73" s="5">
        <f>IF(B73="","",IFERROR(P73+E73+J73+K73,""))</f>
        <v/>
      </c>
      <c r="R73" s="5">
        <f>IF(B73="","",IFERROR(D73-Q73,""))</f>
        <v/>
      </c>
      <c r="S73" s="6">
        <f>IF(B73="","",IFERROR(IF(D73&gt;0,R73/D73,""),""))</f>
        <v/>
      </c>
      <c r="T73" s="5">
        <f>IF(S73="","",IF(S73&gt;=Targets!$B$11,"YES","NO"))</f>
        <v/>
      </c>
      <c r="U73" s="5">
        <f>IF(B73="","",IF(AND(L73="timer",M73="processor record"),"MEASURED","PARTIAL"))</f>
        <v/>
      </c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5">
        <f>IF(B74="","",SUM(F74:I74))</f>
        <v/>
      </c>
      <c r="O74" s="5">
        <f>IF(B74="","",IFERROR(INDEX(Targets!$E$4:$E$8,MATCH(B74,Targets!$A$4:$A$8,0)),"SKU?"))</f>
        <v/>
      </c>
      <c r="P74" s="5">
        <f>IF(B74="","",IFERROR(N74*O74,""))</f>
        <v/>
      </c>
      <c r="Q74" s="5">
        <f>IF(B74="","",IFERROR(P74+E74+J74+K74,""))</f>
        <v/>
      </c>
      <c r="R74" s="5">
        <f>IF(B74="","",IFERROR(D74-Q74,""))</f>
        <v/>
      </c>
      <c r="S74" s="6">
        <f>IF(B74="","",IFERROR(IF(D74&gt;0,R74/D74,""),""))</f>
        <v/>
      </c>
      <c r="T74" s="5">
        <f>IF(S74="","",IF(S74&gt;=Targets!$B$11,"YES","NO"))</f>
        <v/>
      </c>
      <c r="U74" s="5">
        <f>IF(B74="","",IF(AND(L74="timer",M74="processor record"),"MEASURED","PARTIAL"))</f>
        <v/>
      </c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5">
        <f>IF(B75="","",SUM(F75:I75))</f>
        <v/>
      </c>
      <c r="O75" s="5">
        <f>IF(B75="","",IFERROR(INDEX(Targets!$E$4:$E$8,MATCH(B75,Targets!$A$4:$A$8,0)),"SKU?"))</f>
        <v/>
      </c>
      <c r="P75" s="5">
        <f>IF(B75="","",IFERROR(N75*O75,""))</f>
        <v/>
      </c>
      <c r="Q75" s="5">
        <f>IF(B75="","",IFERROR(P75+E75+J75+K75,""))</f>
        <v/>
      </c>
      <c r="R75" s="5">
        <f>IF(B75="","",IFERROR(D75-Q75,""))</f>
        <v/>
      </c>
      <c r="S75" s="6">
        <f>IF(B75="","",IFERROR(IF(D75&gt;0,R75/D75,""),""))</f>
        <v/>
      </c>
      <c r="T75" s="5">
        <f>IF(S75="","",IF(S75&gt;=Targets!$B$11,"YES","NO"))</f>
        <v/>
      </c>
      <c r="U75" s="5">
        <f>IF(B75="","",IF(AND(L75="timer",M75="processor record"),"MEASURED","PARTIAL"))</f>
        <v/>
      </c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5">
        <f>IF(B76="","",SUM(F76:I76))</f>
        <v/>
      </c>
      <c r="O76" s="5">
        <f>IF(B76="","",IFERROR(INDEX(Targets!$E$4:$E$8,MATCH(B76,Targets!$A$4:$A$8,0)),"SKU?"))</f>
        <v/>
      </c>
      <c r="P76" s="5">
        <f>IF(B76="","",IFERROR(N76*O76,""))</f>
        <v/>
      </c>
      <c r="Q76" s="5">
        <f>IF(B76="","",IFERROR(P76+E76+J76+K76,""))</f>
        <v/>
      </c>
      <c r="R76" s="5">
        <f>IF(B76="","",IFERROR(D76-Q76,""))</f>
        <v/>
      </c>
      <c r="S76" s="6">
        <f>IF(B76="","",IFERROR(IF(D76&gt;0,R76/D76,""),""))</f>
        <v/>
      </c>
      <c r="T76" s="5">
        <f>IF(S76="","",IF(S76&gt;=Targets!$B$11,"YES","NO"))</f>
        <v/>
      </c>
      <c r="U76" s="5">
        <f>IF(B76="","",IF(AND(L76="timer",M76="processor record"),"MEASURED","PARTIAL"))</f>
        <v/>
      </c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5">
        <f>IF(B77="","",SUM(F77:I77))</f>
        <v/>
      </c>
      <c r="O77" s="5">
        <f>IF(B77="","",IFERROR(INDEX(Targets!$E$4:$E$8,MATCH(B77,Targets!$A$4:$A$8,0)),"SKU?"))</f>
        <v/>
      </c>
      <c r="P77" s="5">
        <f>IF(B77="","",IFERROR(N77*O77,""))</f>
        <v/>
      </c>
      <c r="Q77" s="5">
        <f>IF(B77="","",IFERROR(P77+E77+J77+K77,""))</f>
        <v/>
      </c>
      <c r="R77" s="5">
        <f>IF(B77="","",IFERROR(D77-Q77,""))</f>
        <v/>
      </c>
      <c r="S77" s="6">
        <f>IF(B77="","",IFERROR(IF(D77&gt;0,R77/D77,""),""))</f>
        <v/>
      </c>
      <c r="T77" s="5">
        <f>IF(S77="","",IF(S77&gt;=Targets!$B$11,"YES","NO"))</f>
        <v/>
      </c>
      <c r="U77" s="5">
        <f>IF(B77="","",IF(AND(L77="timer",M77="processor record"),"MEASURED","PARTIAL"))</f>
        <v/>
      </c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5">
        <f>IF(B78="","",SUM(F78:I78))</f>
        <v/>
      </c>
      <c r="O78" s="5">
        <f>IF(B78="","",IFERROR(INDEX(Targets!$E$4:$E$8,MATCH(B78,Targets!$A$4:$A$8,0)),"SKU?"))</f>
        <v/>
      </c>
      <c r="P78" s="5">
        <f>IF(B78="","",IFERROR(N78*O78,""))</f>
        <v/>
      </c>
      <c r="Q78" s="5">
        <f>IF(B78="","",IFERROR(P78+E78+J78+K78,""))</f>
        <v/>
      </c>
      <c r="R78" s="5">
        <f>IF(B78="","",IFERROR(D78-Q78,""))</f>
        <v/>
      </c>
      <c r="S78" s="6">
        <f>IF(B78="","",IFERROR(IF(D78&gt;0,R78/D78,""),""))</f>
        <v/>
      </c>
      <c r="T78" s="5">
        <f>IF(S78="","",IF(S78&gt;=Targets!$B$11,"YES","NO"))</f>
        <v/>
      </c>
      <c r="U78" s="5">
        <f>IF(B78="","",IF(AND(L78="timer",M78="processor record"),"MEASURED","PARTIAL"))</f>
        <v/>
      </c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5">
        <f>IF(B79="","",SUM(F79:I79))</f>
        <v/>
      </c>
      <c r="O79" s="5">
        <f>IF(B79="","",IFERROR(INDEX(Targets!$E$4:$E$8,MATCH(B79,Targets!$A$4:$A$8,0)),"SKU?"))</f>
        <v/>
      </c>
      <c r="P79" s="5">
        <f>IF(B79="","",IFERROR(N79*O79,""))</f>
        <v/>
      </c>
      <c r="Q79" s="5">
        <f>IF(B79="","",IFERROR(P79+E79+J79+K79,""))</f>
        <v/>
      </c>
      <c r="R79" s="5">
        <f>IF(B79="","",IFERROR(D79-Q79,""))</f>
        <v/>
      </c>
      <c r="S79" s="6">
        <f>IF(B79="","",IFERROR(IF(D79&gt;0,R79/D79,""),""))</f>
        <v/>
      </c>
      <c r="T79" s="5">
        <f>IF(S79="","",IF(S79&gt;=Targets!$B$11,"YES","NO"))</f>
        <v/>
      </c>
      <c r="U79" s="5">
        <f>IF(B79="","",IF(AND(L79="timer",M79="processor record"),"MEASURED","PARTIAL"))</f>
        <v/>
      </c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5">
        <f>IF(B80="","",SUM(F80:I80))</f>
        <v/>
      </c>
      <c r="O80" s="5">
        <f>IF(B80="","",IFERROR(INDEX(Targets!$E$4:$E$8,MATCH(B80,Targets!$A$4:$A$8,0)),"SKU?"))</f>
        <v/>
      </c>
      <c r="P80" s="5">
        <f>IF(B80="","",IFERROR(N80*O80,""))</f>
        <v/>
      </c>
      <c r="Q80" s="5">
        <f>IF(B80="","",IFERROR(P80+E80+J80+K80,""))</f>
        <v/>
      </c>
      <c r="R80" s="5">
        <f>IF(B80="","",IFERROR(D80-Q80,""))</f>
        <v/>
      </c>
      <c r="S80" s="6">
        <f>IF(B80="","",IFERROR(IF(D80&gt;0,R80/D80,""),""))</f>
        <v/>
      </c>
      <c r="T80" s="5">
        <f>IF(S80="","",IF(S80&gt;=Targets!$B$11,"YES","NO"))</f>
        <v/>
      </c>
      <c r="U80" s="5">
        <f>IF(B80="","",IF(AND(L80="timer",M80="processor record"),"MEASURED","PARTIAL"))</f>
        <v/>
      </c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5">
        <f>IF(B81="","",SUM(F81:I81))</f>
        <v/>
      </c>
      <c r="O81" s="5">
        <f>IF(B81="","",IFERROR(INDEX(Targets!$E$4:$E$8,MATCH(B81,Targets!$A$4:$A$8,0)),"SKU?"))</f>
        <v/>
      </c>
      <c r="P81" s="5">
        <f>IF(B81="","",IFERROR(N81*O81,""))</f>
        <v/>
      </c>
      <c r="Q81" s="5">
        <f>IF(B81="","",IFERROR(P81+E81+J81+K81,""))</f>
        <v/>
      </c>
      <c r="R81" s="5">
        <f>IF(B81="","",IFERROR(D81-Q81,""))</f>
        <v/>
      </c>
      <c r="S81" s="6">
        <f>IF(B81="","",IFERROR(IF(D81&gt;0,R81/D81,""),""))</f>
        <v/>
      </c>
      <c r="T81" s="5">
        <f>IF(S81="","",IF(S81&gt;=Targets!$B$11,"YES","NO"))</f>
        <v/>
      </c>
      <c r="U81" s="5">
        <f>IF(B81="","",IF(AND(L81="timer",M81="processor record"),"MEASURED","PARTIAL"))</f>
        <v/>
      </c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5">
        <f>IF(B82="","",SUM(F82:I82))</f>
        <v/>
      </c>
      <c r="O82" s="5">
        <f>IF(B82="","",IFERROR(INDEX(Targets!$E$4:$E$8,MATCH(B82,Targets!$A$4:$A$8,0)),"SKU?"))</f>
        <v/>
      </c>
      <c r="P82" s="5">
        <f>IF(B82="","",IFERROR(N82*O82,""))</f>
        <v/>
      </c>
      <c r="Q82" s="5">
        <f>IF(B82="","",IFERROR(P82+E82+J82+K82,""))</f>
        <v/>
      </c>
      <c r="R82" s="5">
        <f>IF(B82="","",IFERROR(D82-Q82,""))</f>
        <v/>
      </c>
      <c r="S82" s="6">
        <f>IF(B82="","",IFERROR(IF(D82&gt;0,R82/D82,""),""))</f>
        <v/>
      </c>
      <c r="T82" s="5">
        <f>IF(S82="","",IF(S82&gt;=Targets!$B$11,"YES","NO"))</f>
        <v/>
      </c>
      <c r="U82" s="5">
        <f>IF(B82="","",IF(AND(L82="timer",M82="processor record"),"MEASURED","PARTIAL"))</f>
        <v/>
      </c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5">
        <f>IF(B83="","",SUM(F83:I83))</f>
        <v/>
      </c>
      <c r="O83" s="5">
        <f>IF(B83="","",IFERROR(INDEX(Targets!$E$4:$E$8,MATCH(B83,Targets!$A$4:$A$8,0)),"SKU?"))</f>
        <v/>
      </c>
      <c r="P83" s="5">
        <f>IF(B83="","",IFERROR(N83*O83,""))</f>
        <v/>
      </c>
      <c r="Q83" s="5">
        <f>IF(B83="","",IFERROR(P83+E83+J83+K83,""))</f>
        <v/>
      </c>
      <c r="R83" s="5">
        <f>IF(B83="","",IFERROR(D83-Q83,""))</f>
        <v/>
      </c>
      <c r="S83" s="6">
        <f>IF(B83="","",IFERROR(IF(D83&gt;0,R83/D83,""),""))</f>
        <v/>
      </c>
      <c r="T83" s="5">
        <f>IF(S83="","",IF(S83&gt;=Targets!$B$11,"YES","NO"))</f>
        <v/>
      </c>
      <c r="U83" s="5">
        <f>IF(B83="","",IF(AND(L83="timer",M83="processor record"),"MEASURED","PARTIAL"))</f>
        <v/>
      </c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5">
        <f>IF(B84="","",SUM(F84:I84))</f>
        <v/>
      </c>
      <c r="O84" s="5">
        <f>IF(B84="","",IFERROR(INDEX(Targets!$E$4:$E$8,MATCH(B84,Targets!$A$4:$A$8,0)),"SKU?"))</f>
        <v/>
      </c>
      <c r="P84" s="5">
        <f>IF(B84="","",IFERROR(N84*O84,""))</f>
        <v/>
      </c>
      <c r="Q84" s="5">
        <f>IF(B84="","",IFERROR(P84+E84+J84+K84,""))</f>
        <v/>
      </c>
      <c r="R84" s="5">
        <f>IF(B84="","",IFERROR(D84-Q84,""))</f>
        <v/>
      </c>
      <c r="S84" s="6">
        <f>IF(B84="","",IFERROR(IF(D84&gt;0,R84/D84,""),""))</f>
        <v/>
      </c>
      <c r="T84" s="5">
        <f>IF(S84="","",IF(S84&gt;=Targets!$B$11,"YES","NO"))</f>
        <v/>
      </c>
      <c r="U84" s="5">
        <f>IF(B84="","",IF(AND(L84="timer",M84="processor record"),"MEASURED","PARTIAL"))</f>
        <v/>
      </c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5">
        <f>IF(B85="","",SUM(F85:I85))</f>
        <v/>
      </c>
      <c r="O85" s="5">
        <f>IF(B85="","",IFERROR(INDEX(Targets!$E$4:$E$8,MATCH(B85,Targets!$A$4:$A$8,0)),"SKU?"))</f>
        <v/>
      </c>
      <c r="P85" s="5">
        <f>IF(B85="","",IFERROR(N85*O85,""))</f>
        <v/>
      </c>
      <c r="Q85" s="5">
        <f>IF(B85="","",IFERROR(P85+E85+J85+K85,""))</f>
        <v/>
      </c>
      <c r="R85" s="5">
        <f>IF(B85="","",IFERROR(D85-Q85,""))</f>
        <v/>
      </c>
      <c r="S85" s="6">
        <f>IF(B85="","",IFERROR(IF(D85&gt;0,R85/D85,""),""))</f>
        <v/>
      </c>
      <c r="T85" s="5">
        <f>IF(S85="","",IF(S85&gt;=Targets!$B$11,"YES","NO"))</f>
        <v/>
      </c>
      <c r="U85" s="5">
        <f>IF(B85="","",IF(AND(L85="timer",M85="processor record"),"MEASURED","PARTIAL"))</f>
        <v/>
      </c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5">
        <f>IF(B86="","",SUM(F86:I86))</f>
        <v/>
      </c>
      <c r="O86" s="5">
        <f>IF(B86="","",IFERROR(INDEX(Targets!$E$4:$E$8,MATCH(B86,Targets!$A$4:$A$8,0)),"SKU?"))</f>
        <v/>
      </c>
      <c r="P86" s="5">
        <f>IF(B86="","",IFERROR(N86*O86,""))</f>
        <v/>
      </c>
      <c r="Q86" s="5">
        <f>IF(B86="","",IFERROR(P86+E86+J86+K86,""))</f>
        <v/>
      </c>
      <c r="R86" s="5">
        <f>IF(B86="","",IFERROR(D86-Q86,""))</f>
        <v/>
      </c>
      <c r="S86" s="6">
        <f>IF(B86="","",IFERROR(IF(D86&gt;0,R86/D86,""),""))</f>
        <v/>
      </c>
      <c r="T86" s="5">
        <f>IF(S86="","",IF(S86&gt;=Targets!$B$11,"YES","NO"))</f>
        <v/>
      </c>
      <c r="U86" s="5">
        <f>IF(B86="","",IF(AND(L86="timer",M86="processor record"),"MEASURED","PARTIAL"))</f>
        <v/>
      </c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5">
        <f>IF(B87="","",SUM(F87:I87))</f>
        <v/>
      </c>
      <c r="O87" s="5">
        <f>IF(B87="","",IFERROR(INDEX(Targets!$E$4:$E$8,MATCH(B87,Targets!$A$4:$A$8,0)),"SKU?"))</f>
        <v/>
      </c>
      <c r="P87" s="5">
        <f>IF(B87="","",IFERROR(N87*O87,""))</f>
        <v/>
      </c>
      <c r="Q87" s="5">
        <f>IF(B87="","",IFERROR(P87+E87+J87+K87,""))</f>
        <v/>
      </c>
      <c r="R87" s="5">
        <f>IF(B87="","",IFERROR(D87-Q87,""))</f>
        <v/>
      </c>
      <c r="S87" s="6">
        <f>IF(B87="","",IFERROR(IF(D87&gt;0,R87/D87,""),""))</f>
        <v/>
      </c>
      <c r="T87" s="5">
        <f>IF(S87="","",IF(S87&gt;=Targets!$B$11,"YES","NO"))</f>
        <v/>
      </c>
      <c r="U87" s="5">
        <f>IF(B87="","",IF(AND(L87="timer",M87="processor record"),"MEASURED","PARTIAL"))</f>
        <v/>
      </c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5">
        <f>IF(B88="","",SUM(F88:I88))</f>
        <v/>
      </c>
      <c r="O88" s="5">
        <f>IF(B88="","",IFERROR(INDEX(Targets!$E$4:$E$8,MATCH(B88,Targets!$A$4:$A$8,0)),"SKU?"))</f>
        <v/>
      </c>
      <c r="P88" s="5">
        <f>IF(B88="","",IFERROR(N88*O88,""))</f>
        <v/>
      </c>
      <c r="Q88" s="5">
        <f>IF(B88="","",IFERROR(P88+E88+J88+K88,""))</f>
        <v/>
      </c>
      <c r="R88" s="5">
        <f>IF(B88="","",IFERROR(D88-Q88,""))</f>
        <v/>
      </c>
      <c r="S88" s="6">
        <f>IF(B88="","",IFERROR(IF(D88&gt;0,R88/D88,""),""))</f>
        <v/>
      </c>
      <c r="T88" s="5">
        <f>IF(S88="","",IF(S88&gt;=Targets!$B$11,"YES","NO"))</f>
        <v/>
      </c>
      <c r="U88" s="5">
        <f>IF(B88="","",IF(AND(L88="timer",M88="processor record"),"MEASURED","PARTIAL"))</f>
        <v/>
      </c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5">
        <f>IF(B89="","",SUM(F89:I89))</f>
        <v/>
      </c>
      <c r="O89" s="5">
        <f>IF(B89="","",IFERROR(INDEX(Targets!$E$4:$E$8,MATCH(B89,Targets!$A$4:$A$8,0)),"SKU?"))</f>
        <v/>
      </c>
      <c r="P89" s="5">
        <f>IF(B89="","",IFERROR(N89*O89,""))</f>
        <v/>
      </c>
      <c r="Q89" s="5">
        <f>IF(B89="","",IFERROR(P89+E89+J89+K89,""))</f>
        <v/>
      </c>
      <c r="R89" s="5">
        <f>IF(B89="","",IFERROR(D89-Q89,""))</f>
        <v/>
      </c>
      <c r="S89" s="6">
        <f>IF(B89="","",IFERROR(IF(D89&gt;0,R89/D89,""),""))</f>
        <v/>
      </c>
      <c r="T89" s="5">
        <f>IF(S89="","",IF(S89&gt;=Targets!$B$11,"YES","NO"))</f>
        <v/>
      </c>
      <c r="U89" s="5">
        <f>IF(B89="","",IF(AND(L89="timer",M89="processor record"),"MEASURED","PARTIAL"))</f>
        <v/>
      </c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5">
        <f>IF(B90="","",SUM(F90:I90))</f>
        <v/>
      </c>
      <c r="O90" s="5">
        <f>IF(B90="","",IFERROR(INDEX(Targets!$E$4:$E$8,MATCH(B90,Targets!$A$4:$A$8,0)),"SKU?"))</f>
        <v/>
      </c>
      <c r="P90" s="5">
        <f>IF(B90="","",IFERROR(N90*O90,""))</f>
        <v/>
      </c>
      <c r="Q90" s="5">
        <f>IF(B90="","",IFERROR(P90+E90+J90+K90,""))</f>
        <v/>
      </c>
      <c r="R90" s="5">
        <f>IF(B90="","",IFERROR(D90-Q90,""))</f>
        <v/>
      </c>
      <c r="S90" s="6">
        <f>IF(B90="","",IFERROR(IF(D90&gt;0,R90/D90,""),""))</f>
        <v/>
      </c>
      <c r="T90" s="5">
        <f>IF(S90="","",IF(S90&gt;=Targets!$B$11,"YES","NO"))</f>
        <v/>
      </c>
      <c r="U90" s="5">
        <f>IF(B90="","",IF(AND(L90="timer",M90="processor record"),"MEASURED","PARTIAL"))</f>
        <v/>
      </c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5">
        <f>IF(B91="","",SUM(F91:I91))</f>
        <v/>
      </c>
      <c r="O91" s="5">
        <f>IF(B91="","",IFERROR(INDEX(Targets!$E$4:$E$8,MATCH(B91,Targets!$A$4:$A$8,0)),"SKU?"))</f>
        <v/>
      </c>
      <c r="P91" s="5">
        <f>IF(B91="","",IFERROR(N91*O91,""))</f>
        <v/>
      </c>
      <c r="Q91" s="5">
        <f>IF(B91="","",IFERROR(P91+E91+J91+K91,""))</f>
        <v/>
      </c>
      <c r="R91" s="5">
        <f>IF(B91="","",IFERROR(D91-Q91,""))</f>
        <v/>
      </c>
      <c r="S91" s="6">
        <f>IF(B91="","",IFERROR(IF(D91&gt;0,R91/D91,""),""))</f>
        <v/>
      </c>
      <c r="T91" s="5">
        <f>IF(S91="","",IF(S91&gt;=Targets!$B$11,"YES","NO"))</f>
        <v/>
      </c>
      <c r="U91" s="5">
        <f>IF(B91="","",IF(AND(L91="timer",M91="processor record"),"MEASURED","PARTIAL"))</f>
        <v/>
      </c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5">
        <f>IF(B92="","",SUM(F92:I92))</f>
        <v/>
      </c>
      <c r="O92" s="5">
        <f>IF(B92="","",IFERROR(INDEX(Targets!$E$4:$E$8,MATCH(B92,Targets!$A$4:$A$8,0)),"SKU?"))</f>
        <v/>
      </c>
      <c r="P92" s="5">
        <f>IF(B92="","",IFERROR(N92*O92,""))</f>
        <v/>
      </c>
      <c r="Q92" s="5">
        <f>IF(B92="","",IFERROR(P92+E92+J92+K92,""))</f>
        <v/>
      </c>
      <c r="R92" s="5">
        <f>IF(B92="","",IFERROR(D92-Q92,""))</f>
        <v/>
      </c>
      <c r="S92" s="6">
        <f>IF(B92="","",IFERROR(IF(D92&gt;0,R92/D92,""),""))</f>
        <v/>
      </c>
      <c r="T92" s="5">
        <f>IF(S92="","",IF(S92&gt;=Targets!$B$11,"YES","NO"))</f>
        <v/>
      </c>
      <c r="U92" s="5">
        <f>IF(B92="","",IF(AND(L92="timer",M92="processor record"),"MEASURED","PARTIAL"))</f>
        <v/>
      </c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5">
        <f>IF(B93="","",SUM(F93:I93))</f>
        <v/>
      </c>
      <c r="O93" s="5">
        <f>IF(B93="","",IFERROR(INDEX(Targets!$E$4:$E$8,MATCH(B93,Targets!$A$4:$A$8,0)),"SKU?"))</f>
        <v/>
      </c>
      <c r="P93" s="5">
        <f>IF(B93="","",IFERROR(N93*O93,""))</f>
        <v/>
      </c>
      <c r="Q93" s="5">
        <f>IF(B93="","",IFERROR(P93+E93+J93+K93,""))</f>
        <v/>
      </c>
      <c r="R93" s="5">
        <f>IF(B93="","",IFERROR(D93-Q93,""))</f>
        <v/>
      </c>
      <c r="S93" s="6">
        <f>IF(B93="","",IFERROR(IF(D93&gt;0,R93/D93,""),""))</f>
        <v/>
      </c>
      <c r="T93" s="5">
        <f>IF(S93="","",IF(S93&gt;=Targets!$B$11,"YES","NO"))</f>
        <v/>
      </c>
      <c r="U93" s="5">
        <f>IF(B93="","",IF(AND(L93="timer",M93="processor record"),"MEASURED","PARTIAL"))</f>
        <v/>
      </c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5">
        <f>IF(B94="","",SUM(F94:I94))</f>
        <v/>
      </c>
      <c r="O94" s="5">
        <f>IF(B94="","",IFERROR(INDEX(Targets!$E$4:$E$8,MATCH(B94,Targets!$A$4:$A$8,0)),"SKU?"))</f>
        <v/>
      </c>
      <c r="P94" s="5">
        <f>IF(B94="","",IFERROR(N94*O94,""))</f>
        <v/>
      </c>
      <c r="Q94" s="5">
        <f>IF(B94="","",IFERROR(P94+E94+J94+K94,""))</f>
        <v/>
      </c>
      <c r="R94" s="5">
        <f>IF(B94="","",IFERROR(D94-Q94,""))</f>
        <v/>
      </c>
      <c r="S94" s="6">
        <f>IF(B94="","",IFERROR(IF(D94&gt;0,R94/D94,""),""))</f>
        <v/>
      </c>
      <c r="T94" s="5">
        <f>IF(S94="","",IF(S94&gt;=Targets!$B$11,"YES","NO"))</f>
        <v/>
      </c>
      <c r="U94" s="5">
        <f>IF(B94="","",IF(AND(L94="timer",M94="processor record"),"MEASURED","PARTIAL"))</f>
        <v/>
      </c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5">
        <f>IF(B95="","",SUM(F95:I95))</f>
        <v/>
      </c>
      <c r="O95" s="5">
        <f>IF(B95="","",IFERROR(INDEX(Targets!$E$4:$E$8,MATCH(B95,Targets!$A$4:$A$8,0)),"SKU?"))</f>
        <v/>
      </c>
      <c r="P95" s="5">
        <f>IF(B95="","",IFERROR(N95*O95,""))</f>
        <v/>
      </c>
      <c r="Q95" s="5">
        <f>IF(B95="","",IFERROR(P95+E95+J95+K95,""))</f>
        <v/>
      </c>
      <c r="R95" s="5">
        <f>IF(B95="","",IFERROR(D95-Q95,""))</f>
        <v/>
      </c>
      <c r="S95" s="6">
        <f>IF(B95="","",IFERROR(IF(D95&gt;0,R95/D95,""),""))</f>
        <v/>
      </c>
      <c r="T95" s="5">
        <f>IF(S95="","",IF(S95&gt;=Targets!$B$11,"YES","NO"))</f>
        <v/>
      </c>
      <c r="U95" s="5">
        <f>IF(B95="","",IF(AND(L95="timer",M95="processor record"),"MEASURED","PARTIAL"))</f>
        <v/>
      </c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5">
        <f>IF(B96="","",SUM(F96:I96))</f>
        <v/>
      </c>
      <c r="O96" s="5">
        <f>IF(B96="","",IFERROR(INDEX(Targets!$E$4:$E$8,MATCH(B96,Targets!$A$4:$A$8,0)),"SKU?"))</f>
        <v/>
      </c>
      <c r="P96" s="5">
        <f>IF(B96="","",IFERROR(N96*O96,""))</f>
        <v/>
      </c>
      <c r="Q96" s="5">
        <f>IF(B96="","",IFERROR(P96+E96+J96+K96,""))</f>
        <v/>
      </c>
      <c r="R96" s="5">
        <f>IF(B96="","",IFERROR(D96-Q96,""))</f>
        <v/>
      </c>
      <c r="S96" s="6">
        <f>IF(B96="","",IFERROR(IF(D96&gt;0,R96/D96,""),""))</f>
        <v/>
      </c>
      <c r="T96" s="5">
        <f>IF(S96="","",IF(S96&gt;=Targets!$B$11,"YES","NO"))</f>
        <v/>
      </c>
      <c r="U96" s="5">
        <f>IF(B96="","",IF(AND(L96="timer",M96="processor record"),"MEASURED","PARTIAL"))</f>
        <v/>
      </c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5">
        <f>IF(B97="","",SUM(F97:I97))</f>
        <v/>
      </c>
      <c r="O97" s="5">
        <f>IF(B97="","",IFERROR(INDEX(Targets!$E$4:$E$8,MATCH(B97,Targets!$A$4:$A$8,0)),"SKU?"))</f>
        <v/>
      </c>
      <c r="P97" s="5">
        <f>IF(B97="","",IFERROR(N97*O97,""))</f>
        <v/>
      </c>
      <c r="Q97" s="5">
        <f>IF(B97="","",IFERROR(P97+E97+J97+K97,""))</f>
        <v/>
      </c>
      <c r="R97" s="5">
        <f>IF(B97="","",IFERROR(D97-Q97,""))</f>
        <v/>
      </c>
      <c r="S97" s="6">
        <f>IF(B97="","",IFERROR(IF(D97&gt;0,R97/D97,""),""))</f>
        <v/>
      </c>
      <c r="T97" s="5">
        <f>IF(S97="","",IF(S97&gt;=Targets!$B$11,"YES","NO"))</f>
        <v/>
      </c>
      <c r="U97" s="5">
        <f>IF(B97="","",IF(AND(L97="timer",M97="processor record"),"MEASURED","PARTIAL"))</f>
        <v/>
      </c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5">
        <f>IF(B98="","",SUM(F98:I98))</f>
        <v/>
      </c>
      <c r="O98" s="5">
        <f>IF(B98="","",IFERROR(INDEX(Targets!$E$4:$E$8,MATCH(B98,Targets!$A$4:$A$8,0)),"SKU?"))</f>
        <v/>
      </c>
      <c r="P98" s="5">
        <f>IF(B98="","",IFERROR(N98*O98,""))</f>
        <v/>
      </c>
      <c r="Q98" s="5">
        <f>IF(B98="","",IFERROR(P98+E98+J98+K98,""))</f>
        <v/>
      </c>
      <c r="R98" s="5">
        <f>IF(B98="","",IFERROR(D98-Q98,""))</f>
        <v/>
      </c>
      <c r="S98" s="6">
        <f>IF(B98="","",IFERROR(IF(D98&gt;0,R98/D98,""),""))</f>
        <v/>
      </c>
      <c r="T98" s="5">
        <f>IF(S98="","",IF(S98&gt;=Targets!$B$11,"YES","NO"))</f>
        <v/>
      </c>
      <c r="U98" s="5">
        <f>IF(B98="","",IF(AND(L98="timer",M98="processor record"),"MEASURED","PARTIAL"))</f>
        <v/>
      </c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5">
        <f>IF(B99="","",SUM(F99:I99))</f>
        <v/>
      </c>
      <c r="O99" s="5">
        <f>IF(B99="","",IFERROR(INDEX(Targets!$E$4:$E$8,MATCH(B99,Targets!$A$4:$A$8,0)),"SKU?"))</f>
        <v/>
      </c>
      <c r="P99" s="5">
        <f>IF(B99="","",IFERROR(N99*O99,""))</f>
        <v/>
      </c>
      <c r="Q99" s="5">
        <f>IF(B99="","",IFERROR(P99+E99+J99+K99,""))</f>
        <v/>
      </c>
      <c r="R99" s="5">
        <f>IF(B99="","",IFERROR(D99-Q99,""))</f>
        <v/>
      </c>
      <c r="S99" s="6">
        <f>IF(B99="","",IFERROR(IF(D99&gt;0,R99/D99,""),""))</f>
        <v/>
      </c>
      <c r="T99" s="5">
        <f>IF(S99="","",IF(S99&gt;=Targets!$B$11,"YES","NO"))</f>
        <v/>
      </c>
      <c r="U99" s="5">
        <f>IF(B99="","",IF(AND(L99="timer",M99="processor record"),"MEASURED","PARTIAL"))</f>
        <v/>
      </c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5">
        <f>IF(B100="","",SUM(F100:I100))</f>
        <v/>
      </c>
      <c r="O100" s="5">
        <f>IF(B100="","",IFERROR(INDEX(Targets!$E$4:$E$8,MATCH(B100,Targets!$A$4:$A$8,0)),"SKU?"))</f>
        <v/>
      </c>
      <c r="P100" s="5">
        <f>IF(B100="","",IFERROR(N100*O100,""))</f>
        <v/>
      </c>
      <c r="Q100" s="5">
        <f>IF(B100="","",IFERROR(P100+E100+J100+K100,""))</f>
        <v/>
      </c>
      <c r="R100" s="5">
        <f>IF(B100="","",IFERROR(D100-Q100,""))</f>
        <v/>
      </c>
      <c r="S100" s="6">
        <f>IF(B100="","",IFERROR(IF(D100&gt;0,R100/D100,""),""))</f>
        <v/>
      </c>
      <c r="T100" s="5">
        <f>IF(S100="","",IF(S100&gt;=Targets!$B$11,"YES","NO"))</f>
        <v/>
      </c>
      <c r="U100" s="5">
        <f>IF(B100="","",IF(AND(L100="timer",M100="processor record"),"MEASURED","PARTIAL"))</f>
        <v/>
      </c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5">
        <f>IF(B101="","",SUM(F101:I101))</f>
        <v/>
      </c>
      <c r="O101" s="5">
        <f>IF(B101="","",IFERROR(INDEX(Targets!$E$4:$E$8,MATCH(B101,Targets!$A$4:$A$8,0)),"SKU?"))</f>
        <v/>
      </c>
      <c r="P101" s="5">
        <f>IF(B101="","",IFERROR(N101*O101,""))</f>
        <v/>
      </c>
      <c r="Q101" s="5">
        <f>IF(B101="","",IFERROR(P101+E101+J101+K101,""))</f>
        <v/>
      </c>
      <c r="R101" s="5">
        <f>IF(B101="","",IFERROR(D101-Q101,""))</f>
        <v/>
      </c>
      <c r="S101" s="6">
        <f>IF(B101="","",IFERROR(IF(D101&gt;0,R101/D101,""),""))</f>
        <v/>
      </c>
      <c r="T101" s="5">
        <f>IF(S101="","",IF(S101&gt;=Targets!$B$11,"YES","NO"))</f>
        <v/>
      </c>
      <c r="U101" s="5">
        <f>IF(B101="","",IF(AND(L101="timer",M101="processor record"),"MEASURED","PARTIAL"))</f>
        <v/>
      </c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5">
        <f>IF(B102="","",SUM(F102:I102))</f>
        <v/>
      </c>
      <c r="O102" s="5">
        <f>IF(B102="","",IFERROR(INDEX(Targets!$E$4:$E$8,MATCH(B102,Targets!$A$4:$A$8,0)),"SKU?"))</f>
        <v/>
      </c>
      <c r="P102" s="5">
        <f>IF(B102="","",IFERROR(N102*O102,""))</f>
        <v/>
      </c>
      <c r="Q102" s="5">
        <f>IF(B102="","",IFERROR(P102+E102+J102+K102,""))</f>
        <v/>
      </c>
      <c r="R102" s="5">
        <f>IF(B102="","",IFERROR(D102-Q102,""))</f>
        <v/>
      </c>
      <c r="S102" s="6">
        <f>IF(B102="","",IFERROR(IF(D102&gt;0,R102/D102,""),""))</f>
        <v/>
      </c>
      <c r="T102" s="5">
        <f>IF(S102="","",IF(S102&gt;=Targets!$B$11,"YES","NO"))</f>
        <v/>
      </c>
      <c r="U102" s="5">
        <f>IF(B102="","",IF(AND(L102="timer",M102="processor record"),"MEASURED","PARTIAL"))</f>
        <v/>
      </c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5">
        <f>IF(B103="","",SUM(F103:I103))</f>
        <v/>
      </c>
      <c r="O103" s="5">
        <f>IF(B103="","",IFERROR(INDEX(Targets!$E$4:$E$8,MATCH(B103,Targets!$A$4:$A$8,0)),"SKU?"))</f>
        <v/>
      </c>
      <c r="P103" s="5">
        <f>IF(B103="","",IFERROR(N103*O103,""))</f>
        <v/>
      </c>
      <c r="Q103" s="5">
        <f>IF(B103="","",IFERROR(P103+E103+J103+K103,""))</f>
        <v/>
      </c>
      <c r="R103" s="5">
        <f>IF(B103="","",IFERROR(D103-Q103,""))</f>
        <v/>
      </c>
      <c r="S103" s="6">
        <f>IF(B103="","",IFERROR(IF(D103&gt;0,R103/D103,""),""))</f>
        <v/>
      </c>
      <c r="T103" s="5">
        <f>IF(S103="","",IF(S103&gt;=Targets!$B$11,"YES","NO"))</f>
        <v/>
      </c>
      <c r="U103" s="5">
        <f>IF(B103="","",IF(AND(L103="timer",M103="processor record"),"MEASURED","PARTIAL"))</f>
        <v/>
      </c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5">
        <f>IF(B104="","",SUM(F104:I104))</f>
        <v/>
      </c>
      <c r="O104" s="5">
        <f>IF(B104="","",IFERROR(INDEX(Targets!$E$4:$E$8,MATCH(B104,Targets!$A$4:$A$8,0)),"SKU?"))</f>
        <v/>
      </c>
      <c r="P104" s="5">
        <f>IF(B104="","",IFERROR(N104*O104,""))</f>
        <v/>
      </c>
      <c r="Q104" s="5">
        <f>IF(B104="","",IFERROR(P104+E104+J104+K104,""))</f>
        <v/>
      </c>
      <c r="R104" s="5">
        <f>IF(B104="","",IFERROR(D104-Q104,""))</f>
        <v/>
      </c>
      <c r="S104" s="6">
        <f>IF(B104="","",IFERROR(IF(D104&gt;0,R104/D104,""),""))</f>
        <v/>
      </c>
      <c r="T104" s="5">
        <f>IF(S104="","",IF(S104&gt;=Targets!$B$11,"YES","NO"))</f>
        <v/>
      </c>
      <c r="U104" s="5">
        <f>IF(B104="","",IF(AND(L104="timer",M104="processor record"),"MEASURED","PARTIAL"))</f>
        <v/>
      </c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5">
        <f>IF(B105="","",SUM(F105:I105))</f>
        <v/>
      </c>
      <c r="O105" s="5">
        <f>IF(B105="","",IFERROR(INDEX(Targets!$E$4:$E$8,MATCH(B105,Targets!$A$4:$A$8,0)),"SKU?"))</f>
        <v/>
      </c>
      <c r="P105" s="5">
        <f>IF(B105="","",IFERROR(N105*O105,""))</f>
        <v/>
      </c>
      <c r="Q105" s="5">
        <f>IF(B105="","",IFERROR(P105+E105+J105+K105,""))</f>
        <v/>
      </c>
      <c r="R105" s="5">
        <f>IF(B105="","",IFERROR(D105-Q105,""))</f>
        <v/>
      </c>
      <c r="S105" s="6">
        <f>IF(B105="","",IFERROR(IF(D105&gt;0,R105/D105,""),""))</f>
        <v/>
      </c>
      <c r="T105" s="5">
        <f>IF(S105="","",IF(S105&gt;=Targets!$B$11,"YES","NO"))</f>
        <v/>
      </c>
      <c r="U105" s="5">
        <f>IF(B105="","",IF(AND(L105="timer",M105="processor record"),"MEASURED","PARTIAL"))</f>
        <v/>
      </c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5">
        <f>IF(B106="","",SUM(F106:I106))</f>
        <v/>
      </c>
      <c r="O106" s="5">
        <f>IF(B106="","",IFERROR(INDEX(Targets!$E$4:$E$8,MATCH(B106,Targets!$A$4:$A$8,0)),"SKU?"))</f>
        <v/>
      </c>
      <c r="P106" s="5">
        <f>IF(B106="","",IFERROR(N106*O106,""))</f>
        <v/>
      </c>
      <c r="Q106" s="5">
        <f>IF(B106="","",IFERROR(P106+E106+J106+K106,""))</f>
        <v/>
      </c>
      <c r="R106" s="5">
        <f>IF(B106="","",IFERROR(D106-Q106,""))</f>
        <v/>
      </c>
      <c r="S106" s="6">
        <f>IF(B106="","",IFERROR(IF(D106&gt;0,R106/D106,""),""))</f>
        <v/>
      </c>
      <c r="T106" s="5">
        <f>IF(S106="","",IF(S106&gt;=Targets!$B$11,"YES","NO"))</f>
        <v/>
      </c>
      <c r="U106" s="5">
        <f>IF(B106="","",IF(AND(L106="timer",M106="processor record"),"MEASURED","PARTIAL"))</f>
        <v/>
      </c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5">
        <f>IF(B107="","",SUM(F107:I107))</f>
        <v/>
      </c>
      <c r="O107" s="5">
        <f>IF(B107="","",IFERROR(INDEX(Targets!$E$4:$E$8,MATCH(B107,Targets!$A$4:$A$8,0)),"SKU?"))</f>
        <v/>
      </c>
      <c r="P107" s="5">
        <f>IF(B107="","",IFERROR(N107*O107,""))</f>
        <v/>
      </c>
      <c r="Q107" s="5">
        <f>IF(B107="","",IFERROR(P107+E107+J107+K107,""))</f>
        <v/>
      </c>
      <c r="R107" s="5">
        <f>IF(B107="","",IFERROR(D107-Q107,""))</f>
        <v/>
      </c>
      <c r="S107" s="6">
        <f>IF(B107="","",IFERROR(IF(D107&gt;0,R107/D107,""),""))</f>
        <v/>
      </c>
      <c r="T107" s="5">
        <f>IF(S107="","",IF(S107&gt;=Targets!$B$11,"YES","NO"))</f>
        <v/>
      </c>
      <c r="U107" s="5">
        <f>IF(B107="","",IF(AND(L107="timer",M107="processor record"),"MEASURED","PARTIAL"))</f>
        <v/>
      </c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5">
        <f>IF(B108="","",SUM(F108:I108))</f>
        <v/>
      </c>
      <c r="O108" s="5">
        <f>IF(B108="","",IFERROR(INDEX(Targets!$E$4:$E$8,MATCH(B108,Targets!$A$4:$A$8,0)),"SKU?"))</f>
        <v/>
      </c>
      <c r="P108" s="5">
        <f>IF(B108="","",IFERROR(N108*O108,""))</f>
        <v/>
      </c>
      <c r="Q108" s="5">
        <f>IF(B108="","",IFERROR(P108+E108+J108+K108,""))</f>
        <v/>
      </c>
      <c r="R108" s="5">
        <f>IF(B108="","",IFERROR(D108-Q108,""))</f>
        <v/>
      </c>
      <c r="S108" s="6">
        <f>IF(B108="","",IFERROR(IF(D108&gt;0,R108/D108,""),""))</f>
        <v/>
      </c>
      <c r="T108" s="5">
        <f>IF(S108="","",IF(S108&gt;=Targets!$B$11,"YES","NO"))</f>
        <v/>
      </c>
      <c r="U108" s="5">
        <f>IF(B108="","",IF(AND(L108="timer",M108="processor record"),"MEASURED","PARTIAL"))</f>
        <v/>
      </c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5">
        <f>IF(B109="","",SUM(F109:I109))</f>
        <v/>
      </c>
      <c r="O109" s="5">
        <f>IF(B109="","",IFERROR(INDEX(Targets!$E$4:$E$8,MATCH(B109,Targets!$A$4:$A$8,0)),"SKU?"))</f>
        <v/>
      </c>
      <c r="P109" s="5">
        <f>IF(B109="","",IFERROR(N109*O109,""))</f>
        <v/>
      </c>
      <c r="Q109" s="5">
        <f>IF(B109="","",IFERROR(P109+E109+J109+K109,""))</f>
        <v/>
      </c>
      <c r="R109" s="5">
        <f>IF(B109="","",IFERROR(D109-Q109,""))</f>
        <v/>
      </c>
      <c r="S109" s="6">
        <f>IF(B109="","",IFERROR(IF(D109&gt;0,R109/D109,""),""))</f>
        <v/>
      </c>
      <c r="T109" s="5">
        <f>IF(S109="","",IF(S109&gt;=Targets!$B$11,"YES","NO"))</f>
        <v/>
      </c>
      <c r="U109" s="5">
        <f>IF(B109="","",IF(AND(L109="timer",M109="processor record"),"MEASURED","PARTIAL"))</f>
        <v/>
      </c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5">
        <f>IF(B110="","",SUM(F110:I110))</f>
        <v/>
      </c>
      <c r="O110" s="5">
        <f>IF(B110="","",IFERROR(INDEX(Targets!$E$4:$E$8,MATCH(B110,Targets!$A$4:$A$8,0)),"SKU?"))</f>
        <v/>
      </c>
      <c r="P110" s="5">
        <f>IF(B110="","",IFERROR(N110*O110,""))</f>
        <v/>
      </c>
      <c r="Q110" s="5">
        <f>IF(B110="","",IFERROR(P110+E110+J110+K110,""))</f>
        <v/>
      </c>
      <c r="R110" s="5">
        <f>IF(B110="","",IFERROR(D110-Q110,""))</f>
        <v/>
      </c>
      <c r="S110" s="6">
        <f>IF(B110="","",IFERROR(IF(D110&gt;0,R110/D110,""),""))</f>
        <v/>
      </c>
      <c r="T110" s="5">
        <f>IF(S110="","",IF(S110&gt;=Targets!$B$11,"YES","NO"))</f>
        <v/>
      </c>
      <c r="U110" s="5">
        <f>IF(B110="","",IF(AND(L110="timer",M110="processor record"),"MEASURED","PARTIAL"))</f>
        <v/>
      </c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5">
        <f>IF(B111="","",SUM(F111:I111))</f>
        <v/>
      </c>
      <c r="O111" s="5">
        <f>IF(B111="","",IFERROR(INDEX(Targets!$E$4:$E$8,MATCH(B111,Targets!$A$4:$A$8,0)),"SKU?"))</f>
        <v/>
      </c>
      <c r="P111" s="5">
        <f>IF(B111="","",IFERROR(N111*O111,""))</f>
        <v/>
      </c>
      <c r="Q111" s="5">
        <f>IF(B111="","",IFERROR(P111+E111+J111+K111,""))</f>
        <v/>
      </c>
      <c r="R111" s="5">
        <f>IF(B111="","",IFERROR(D111-Q111,""))</f>
        <v/>
      </c>
      <c r="S111" s="6">
        <f>IF(B111="","",IFERROR(IF(D111&gt;0,R111/D111,""),""))</f>
        <v/>
      </c>
      <c r="T111" s="5">
        <f>IF(S111="","",IF(S111&gt;=Targets!$B$11,"YES","NO"))</f>
        <v/>
      </c>
      <c r="U111" s="5">
        <f>IF(B111="","",IF(AND(L111="timer",M111="processor record"),"MEASURED","PARTIAL"))</f>
        <v/>
      </c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5">
        <f>IF(B112="","",SUM(F112:I112))</f>
        <v/>
      </c>
      <c r="O112" s="5">
        <f>IF(B112="","",IFERROR(INDEX(Targets!$E$4:$E$8,MATCH(B112,Targets!$A$4:$A$8,0)),"SKU?"))</f>
        <v/>
      </c>
      <c r="P112" s="5">
        <f>IF(B112="","",IFERROR(N112*O112,""))</f>
        <v/>
      </c>
      <c r="Q112" s="5">
        <f>IF(B112="","",IFERROR(P112+E112+J112+K112,""))</f>
        <v/>
      </c>
      <c r="R112" s="5">
        <f>IF(B112="","",IFERROR(D112-Q112,""))</f>
        <v/>
      </c>
      <c r="S112" s="6">
        <f>IF(B112="","",IFERROR(IF(D112&gt;0,R112/D112,""),""))</f>
        <v/>
      </c>
      <c r="T112" s="5">
        <f>IF(S112="","",IF(S112&gt;=Targets!$B$11,"YES","NO"))</f>
        <v/>
      </c>
      <c r="U112" s="5">
        <f>IF(B112="","",IF(AND(L112="timer",M112="processor record"),"MEASURED","PARTIAL"))</f>
        <v/>
      </c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5">
        <f>IF(B113="","",SUM(F113:I113))</f>
        <v/>
      </c>
      <c r="O113" s="5">
        <f>IF(B113="","",IFERROR(INDEX(Targets!$E$4:$E$8,MATCH(B113,Targets!$A$4:$A$8,0)),"SKU?"))</f>
        <v/>
      </c>
      <c r="P113" s="5">
        <f>IF(B113="","",IFERROR(N113*O113,""))</f>
        <v/>
      </c>
      <c r="Q113" s="5">
        <f>IF(B113="","",IFERROR(P113+E113+J113+K113,""))</f>
        <v/>
      </c>
      <c r="R113" s="5">
        <f>IF(B113="","",IFERROR(D113-Q113,""))</f>
        <v/>
      </c>
      <c r="S113" s="6">
        <f>IF(B113="","",IFERROR(IF(D113&gt;0,R113/D113,""),""))</f>
        <v/>
      </c>
      <c r="T113" s="5">
        <f>IF(S113="","",IF(S113&gt;=Targets!$B$11,"YES","NO"))</f>
        <v/>
      </c>
      <c r="U113" s="5">
        <f>IF(B113="","",IF(AND(L113="timer",M113="processor record"),"MEASURED","PARTIAL"))</f>
        <v/>
      </c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5">
        <f>IF(B114="","",SUM(F114:I114))</f>
        <v/>
      </c>
      <c r="O114" s="5">
        <f>IF(B114="","",IFERROR(INDEX(Targets!$E$4:$E$8,MATCH(B114,Targets!$A$4:$A$8,0)),"SKU?"))</f>
        <v/>
      </c>
      <c r="P114" s="5">
        <f>IF(B114="","",IFERROR(N114*O114,""))</f>
        <v/>
      </c>
      <c r="Q114" s="5">
        <f>IF(B114="","",IFERROR(P114+E114+J114+K114,""))</f>
        <v/>
      </c>
      <c r="R114" s="5">
        <f>IF(B114="","",IFERROR(D114-Q114,""))</f>
        <v/>
      </c>
      <c r="S114" s="6">
        <f>IF(B114="","",IFERROR(IF(D114&gt;0,R114/D114,""),""))</f>
        <v/>
      </c>
      <c r="T114" s="5">
        <f>IF(S114="","",IF(S114&gt;=Targets!$B$11,"YES","NO"))</f>
        <v/>
      </c>
      <c r="U114" s="5">
        <f>IF(B114="","",IF(AND(L114="timer",M114="processor record"),"MEASURED","PARTIAL"))</f>
        <v/>
      </c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5">
        <f>IF(B115="","",SUM(F115:I115))</f>
        <v/>
      </c>
      <c r="O115" s="5">
        <f>IF(B115="","",IFERROR(INDEX(Targets!$E$4:$E$8,MATCH(B115,Targets!$A$4:$A$8,0)),"SKU?"))</f>
        <v/>
      </c>
      <c r="P115" s="5">
        <f>IF(B115="","",IFERROR(N115*O115,""))</f>
        <v/>
      </c>
      <c r="Q115" s="5">
        <f>IF(B115="","",IFERROR(P115+E115+J115+K115,""))</f>
        <v/>
      </c>
      <c r="R115" s="5">
        <f>IF(B115="","",IFERROR(D115-Q115,""))</f>
        <v/>
      </c>
      <c r="S115" s="6">
        <f>IF(B115="","",IFERROR(IF(D115&gt;0,R115/D115,""),""))</f>
        <v/>
      </c>
      <c r="T115" s="5">
        <f>IF(S115="","",IF(S115&gt;=Targets!$B$11,"YES","NO"))</f>
        <v/>
      </c>
      <c r="U115" s="5">
        <f>IF(B115="","",IF(AND(L115="timer",M115="processor record"),"MEASURED","PARTIAL"))</f>
        <v/>
      </c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5">
        <f>IF(B116="","",SUM(F116:I116))</f>
        <v/>
      </c>
      <c r="O116" s="5">
        <f>IF(B116="","",IFERROR(INDEX(Targets!$E$4:$E$8,MATCH(B116,Targets!$A$4:$A$8,0)),"SKU?"))</f>
        <v/>
      </c>
      <c r="P116" s="5">
        <f>IF(B116="","",IFERROR(N116*O116,""))</f>
        <v/>
      </c>
      <c r="Q116" s="5">
        <f>IF(B116="","",IFERROR(P116+E116+J116+K116,""))</f>
        <v/>
      </c>
      <c r="R116" s="5">
        <f>IF(B116="","",IFERROR(D116-Q116,""))</f>
        <v/>
      </c>
      <c r="S116" s="6">
        <f>IF(B116="","",IFERROR(IF(D116&gt;0,R116/D116,""),""))</f>
        <v/>
      </c>
      <c r="T116" s="5">
        <f>IF(S116="","",IF(S116&gt;=Targets!$B$11,"YES","NO"))</f>
        <v/>
      </c>
      <c r="U116" s="5">
        <f>IF(B116="","",IF(AND(L116="timer",M116="processor record"),"MEASURED","PARTIAL"))</f>
        <v/>
      </c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5">
        <f>IF(B117="","",SUM(F117:I117))</f>
        <v/>
      </c>
      <c r="O117" s="5">
        <f>IF(B117="","",IFERROR(INDEX(Targets!$E$4:$E$8,MATCH(B117,Targets!$A$4:$A$8,0)),"SKU?"))</f>
        <v/>
      </c>
      <c r="P117" s="5">
        <f>IF(B117="","",IFERROR(N117*O117,""))</f>
        <v/>
      </c>
      <c r="Q117" s="5">
        <f>IF(B117="","",IFERROR(P117+E117+J117+K117,""))</f>
        <v/>
      </c>
      <c r="R117" s="5">
        <f>IF(B117="","",IFERROR(D117-Q117,""))</f>
        <v/>
      </c>
      <c r="S117" s="6">
        <f>IF(B117="","",IFERROR(IF(D117&gt;0,R117/D117,""),""))</f>
        <v/>
      </c>
      <c r="T117" s="5">
        <f>IF(S117="","",IF(S117&gt;=Targets!$B$11,"YES","NO"))</f>
        <v/>
      </c>
      <c r="U117" s="5">
        <f>IF(B117="","",IF(AND(L117="timer",M117="processor record"),"MEASURED","PARTIAL"))</f>
        <v/>
      </c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5">
        <f>IF(B118="","",SUM(F118:I118))</f>
        <v/>
      </c>
      <c r="O118" s="5">
        <f>IF(B118="","",IFERROR(INDEX(Targets!$E$4:$E$8,MATCH(B118,Targets!$A$4:$A$8,0)),"SKU?"))</f>
        <v/>
      </c>
      <c r="P118" s="5">
        <f>IF(B118="","",IFERROR(N118*O118,""))</f>
        <v/>
      </c>
      <c r="Q118" s="5">
        <f>IF(B118="","",IFERROR(P118+E118+J118+K118,""))</f>
        <v/>
      </c>
      <c r="R118" s="5">
        <f>IF(B118="","",IFERROR(D118-Q118,""))</f>
        <v/>
      </c>
      <c r="S118" s="6">
        <f>IF(B118="","",IFERROR(IF(D118&gt;0,R118/D118,""),""))</f>
        <v/>
      </c>
      <c r="T118" s="5">
        <f>IF(S118="","",IF(S118&gt;=Targets!$B$11,"YES","NO"))</f>
        <v/>
      </c>
      <c r="U118" s="5">
        <f>IF(B118="","",IF(AND(L118="timer",M118="processor record"),"MEASURED","PARTIAL"))</f>
        <v/>
      </c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5">
        <f>IF(B119="","",SUM(F119:I119))</f>
        <v/>
      </c>
      <c r="O119" s="5">
        <f>IF(B119="","",IFERROR(INDEX(Targets!$E$4:$E$8,MATCH(B119,Targets!$A$4:$A$8,0)),"SKU?"))</f>
        <v/>
      </c>
      <c r="P119" s="5">
        <f>IF(B119="","",IFERROR(N119*O119,""))</f>
        <v/>
      </c>
      <c r="Q119" s="5">
        <f>IF(B119="","",IFERROR(P119+E119+J119+K119,""))</f>
        <v/>
      </c>
      <c r="R119" s="5">
        <f>IF(B119="","",IFERROR(D119-Q119,""))</f>
        <v/>
      </c>
      <c r="S119" s="6">
        <f>IF(B119="","",IFERROR(IF(D119&gt;0,R119/D119,""),""))</f>
        <v/>
      </c>
      <c r="T119" s="5">
        <f>IF(S119="","",IF(S119&gt;=Targets!$B$11,"YES","NO"))</f>
        <v/>
      </c>
      <c r="U119" s="5">
        <f>IF(B119="","",IF(AND(L119="timer",M119="processor record"),"MEASURED","PARTIAL"))</f>
        <v/>
      </c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5">
        <f>IF(B120="","",SUM(F120:I120))</f>
        <v/>
      </c>
      <c r="O120" s="5">
        <f>IF(B120="","",IFERROR(INDEX(Targets!$E$4:$E$8,MATCH(B120,Targets!$A$4:$A$8,0)),"SKU?"))</f>
        <v/>
      </c>
      <c r="P120" s="5">
        <f>IF(B120="","",IFERROR(N120*O120,""))</f>
        <v/>
      </c>
      <c r="Q120" s="5">
        <f>IF(B120="","",IFERROR(P120+E120+J120+K120,""))</f>
        <v/>
      </c>
      <c r="R120" s="5">
        <f>IF(B120="","",IFERROR(D120-Q120,""))</f>
        <v/>
      </c>
      <c r="S120" s="6">
        <f>IF(B120="","",IFERROR(IF(D120&gt;0,R120/D120,""),""))</f>
        <v/>
      </c>
      <c r="T120" s="5">
        <f>IF(S120="","",IF(S120&gt;=Targets!$B$11,"YES","NO"))</f>
        <v/>
      </c>
      <c r="U120" s="5">
        <f>IF(B120="","",IF(AND(L120="timer",M120="processor record"),"MEASURED","PARTIAL"))</f>
        <v/>
      </c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5">
        <f>IF(B121="","",SUM(F121:I121))</f>
        <v/>
      </c>
      <c r="O121" s="5">
        <f>IF(B121="","",IFERROR(INDEX(Targets!$E$4:$E$8,MATCH(B121,Targets!$A$4:$A$8,0)),"SKU?"))</f>
        <v/>
      </c>
      <c r="P121" s="5">
        <f>IF(B121="","",IFERROR(N121*O121,""))</f>
        <v/>
      </c>
      <c r="Q121" s="5">
        <f>IF(B121="","",IFERROR(P121+E121+J121+K121,""))</f>
        <v/>
      </c>
      <c r="R121" s="5">
        <f>IF(B121="","",IFERROR(D121-Q121,""))</f>
        <v/>
      </c>
      <c r="S121" s="6">
        <f>IF(B121="","",IFERROR(IF(D121&gt;0,R121/D121,""),""))</f>
        <v/>
      </c>
      <c r="T121" s="5">
        <f>IF(S121="","",IF(S121&gt;=Targets!$B$11,"YES","NO"))</f>
        <v/>
      </c>
      <c r="U121" s="5">
        <f>IF(B121="","",IF(AND(L121="timer",M121="processor record"),"MEASURED","PARTIAL"))</f>
        <v/>
      </c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5">
        <f>IF(B122="","",SUM(F122:I122))</f>
        <v/>
      </c>
      <c r="O122" s="5">
        <f>IF(B122="","",IFERROR(INDEX(Targets!$E$4:$E$8,MATCH(B122,Targets!$A$4:$A$8,0)),"SKU?"))</f>
        <v/>
      </c>
      <c r="P122" s="5">
        <f>IF(B122="","",IFERROR(N122*O122,""))</f>
        <v/>
      </c>
      <c r="Q122" s="5">
        <f>IF(B122="","",IFERROR(P122+E122+J122+K122,""))</f>
        <v/>
      </c>
      <c r="R122" s="5">
        <f>IF(B122="","",IFERROR(D122-Q122,""))</f>
        <v/>
      </c>
      <c r="S122" s="6">
        <f>IF(B122="","",IFERROR(IF(D122&gt;0,R122/D122,""),""))</f>
        <v/>
      </c>
      <c r="T122" s="5">
        <f>IF(S122="","",IF(S122&gt;=Targets!$B$11,"YES","NO"))</f>
        <v/>
      </c>
      <c r="U122" s="5">
        <f>IF(B122="","",IF(AND(L122="timer",M122="processor record"),"MEASURED","PARTIAL"))</f>
        <v/>
      </c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5">
        <f>IF(B123="","",SUM(F123:I123))</f>
        <v/>
      </c>
      <c r="O123" s="5">
        <f>IF(B123="","",IFERROR(INDEX(Targets!$E$4:$E$8,MATCH(B123,Targets!$A$4:$A$8,0)),"SKU?"))</f>
        <v/>
      </c>
      <c r="P123" s="5">
        <f>IF(B123="","",IFERROR(N123*O123,""))</f>
        <v/>
      </c>
      <c r="Q123" s="5">
        <f>IF(B123="","",IFERROR(P123+E123+J123+K123,""))</f>
        <v/>
      </c>
      <c r="R123" s="5">
        <f>IF(B123="","",IFERROR(D123-Q123,""))</f>
        <v/>
      </c>
      <c r="S123" s="6">
        <f>IF(B123="","",IFERROR(IF(D123&gt;0,R123/D123,""),""))</f>
        <v/>
      </c>
      <c r="T123" s="5">
        <f>IF(S123="","",IF(S123&gt;=Targets!$B$11,"YES","NO"))</f>
        <v/>
      </c>
      <c r="U123" s="5">
        <f>IF(B123="","",IF(AND(L123="timer",M123="processor record"),"MEASURED","PARTIAL"))</f>
        <v/>
      </c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5">
        <f>IF(B124="","",SUM(F124:I124))</f>
        <v/>
      </c>
      <c r="O124" s="5">
        <f>IF(B124="","",IFERROR(INDEX(Targets!$E$4:$E$8,MATCH(B124,Targets!$A$4:$A$8,0)),"SKU?"))</f>
        <v/>
      </c>
      <c r="P124" s="5">
        <f>IF(B124="","",IFERROR(N124*O124,""))</f>
        <v/>
      </c>
      <c r="Q124" s="5">
        <f>IF(B124="","",IFERROR(P124+E124+J124+K124,""))</f>
        <v/>
      </c>
      <c r="R124" s="5">
        <f>IF(B124="","",IFERROR(D124-Q124,""))</f>
        <v/>
      </c>
      <c r="S124" s="6">
        <f>IF(B124="","",IFERROR(IF(D124&gt;0,R124/D124,""),""))</f>
        <v/>
      </c>
      <c r="T124" s="5">
        <f>IF(S124="","",IF(S124&gt;=Targets!$B$11,"YES","NO"))</f>
        <v/>
      </c>
      <c r="U124" s="5">
        <f>IF(B124="","",IF(AND(L124="timer",M124="processor record"),"MEASURED","PARTIAL"))</f>
        <v/>
      </c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5">
        <f>IF(B125="","",SUM(F125:I125))</f>
        <v/>
      </c>
      <c r="O125" s="5">
        <f>IF(B125="","",IFERROR(INDEX(Targets!$E$4:$E$8,MATCH(B125,Targets!$A$4:$A$8,0)),"SKU?"))</f>
        <v/>
      </c>
      <c r="P125" s="5">
        <f>IF(B125="","",IFERROR(N125*O125,""))</f>
        <v/>
      </c>
      <c r="Q125" s="5">
        <f>IF(B125="","",IFERROR(P125+E125+J125+K125,""))</f>
        <v/>
      </c>
      <c r="R125" s="5">
        <f>IF(B125="","",IFERROR(D125-Q125,""))</f>
        <v/>
      </c>
      <c r="S125" s="6">
        <f>IF(B125="","",IFERROR(IF(D125&gt;0,R125/D125,""),""))</f>
        <v/>
      </c>
      <c r="T125" s="5">
        <f>IF(S125="","",IF(S125&gt;=Targets!$B$11,"YES","NO"))</f>
        <v/>
      </c>
      <c r="U125" s="5">
        <f>IF(B125="","",IF(AND(L125="timer",M125="processor record"),"MEASURED","PARTIAL"))</f>
        <v/>
      </c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5">
        <f>IF(B126="","",SUM(F126:I126))</f>
        <v/>
      </c>
      <c r="O126" s="5">
        <f>IF(B126="","",IFERROR(INDEX(Targets!$E$4:$E$8,MATCH(B126,Targets!$A$4:$A$8,0)),"SKU?"))</f>
        <v/>
      </c>
      <c r="P126" s="5">
        <f>IF(B126="","",IFERROR(N126*O126,""))</f>
        <v/>
      </c>
      <c r="Q126" s="5">
        <f>IF(B126="","",IFERROR(P126+E126+J126+K126,""))</f>
        <v/>
      </c>
      <c r="R126" s="5">
        <f>IF(B126="","",IFERROR(D126-Q126,""))</f>
        <v/>
      </c>
      <c r="S126" s="6">
        <f>IF(B126="","",IFERROR(IF(D126&gt;0,R126/D126,""),""))</f>
        <v/>
      </c>
      <c r="T126" s="5">
        <f>IF(S126="","",IF(S126&gt;=Targets!$B$11,"YES","NO"))</f>
        <v/>
      </c>
      <c r="U126" s="5">
        <f>IF(B126="","",IF(AND(L126="timer",M126="processor record"),"MEASURED","PARTIAL"))</f>
        <v/>
      </c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5">
        <f>IF(B127="","",SUM(F127:I127))</f>
        <v/>
      </c>
      <c r="O127" s="5">
        <f>IF(B127="","",IFERROR(INDEX(Targets!$E$4:$E$8,MATCH(B127,Targets!$A$4:$A$8,0)),"SKU?"))</f>
        <v/>
      </c>
      <c r="P127" s="5">
        <f>IF(B127="","",IFERROR(N127*O127,""))</f>
        <v/>
      </c>
      <c r="Q127" s="5">
        <f>IF(B127="","",IFERROR(P127+E127+J127+K127,""))</f>
        <v/>
      </c>
      <c r="R127" s="5">
        <f>IF(B127="","",IFERROR(D127-Q127,""))</f>
        <v/>
      </c>
      <c r="S127" s="6">
        <f>IF(B127="","",IFERROR(IF(D127&gt;0,R127/D127,""),""))</f>
        <v/>
      </c>
      <c r="T127" s="5">
        <f>IF(S127="","",IF(S127&gt;=Targets!$B$11,"YES","NO"))</f>
        <v/>
      </c>
      <c r="U127" s="5">
        <f>IF(B127="","",IF(AND(L127="timer",M127="processor record"),"MEASURED","PARTIAL"))</f>
        <v/>
      </c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5">
        <f>IF(B128="","",SUM(F128:I128))</f>
        <v/>
      </c>
      <c r="O128" s="5">
        <f>IF(B128="","",IFERROR(INDEX(Targets!$E$4:$E$8,MATCH(B128,Targets!$A$4:$A$8,0)),"SKU?"))</f>
        <v/>
      </c>
      <c r="P128" s="5">
        <f>IF(B128="","",IFERROR(N128*O128,""))</f>
        <v/>
      </c>
      <c r="Q128" s="5">
        <f>IF(B128="","",IFERROR(P128+E128+J128+K128,""))</f>
        <v/>
      </c>
      <c r="R128" s="5">
        <f>IF(B128="","",IFERROR(D128-Q128,""))</f>
        <v/>
      </c>
      <c r="S128" s="6">
        <f>IF(B128="","",IFERROR(IF(D128&gt;0,R128/D128,""),""))</f>
        <v/>
      </c>
      <c r="T128" s="5">
        <f>IF(S128="","",IF(S128&gt;=Targets!$B$11,"YES","NO"))</f>
        <v/>
      </c>
      <c r="U128" s="5">
        <f>IF(B128="","",IF(AND(L128="timer",M128="processor record"),"MEASURED","PARTIAL"))</f>
        <v/>
      </c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5">
        <f>IF(B129="","",SUM(F129:I129))</f>
        <v/>
      </c>
      <c r="O129" s="5">
        <f>IF(B129="","",IFERROR(INDEX(Targets!$E$4:$E$8,MATCH(B129,Targets!$A$4:$A$8,0)),"SKU?"))</f>
        <v/>
      </c>
      <c r="P129" s="5">
        <f>IF(B129="","",IFERROR(N129*O129,""))</f>
        <v/>
      </c>
      <c r="Q129" s="5">
        <f>IF(B129="","",IFERROR(P129+E129+J129+K129,""))</f>
        <v/>
      </c>
      <c r="R129" s="5">
        <f>IF(B129="","",IFERROR(D129-Q129,""))</f>
        <v/>
      </c>
      <c r="S129" s="6">
        <f>IF(B129="","",IFERROR(IF(D129&gt;0,R129/D129,""),""))</f>
        <v/>
      </c>
      <c r="T129" s="5">
        <f>IF(S129="","",IF(S129&gt;=Targets!$B$11,"YES","NO"))</f>
        <v/>
      </c>
      <c r="U129" s="5">
        <f>IF(B129="","",IF(AND(L129="timer",M129="processor record"),"MEASURED","PARTIAL"))</f>
        <v/>
      </c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5">
        <f>IF(B130="","",SUM(F130:I130))</f>
        <v/>
      </c>
      <c r="O130" s="5">
        <f>IF(B130="","",IFERROR(INDEX(Targets!$E$4:$E$8,MATCH(B130,Targets!$A$4:$A$8,0)),"SKU?"))</f>
        <v/>
      </c>
      <c r="P130" s="5">
        <f>IF(B130="","",IFERROR(N130*O130,""))</f>
        <v/>
      </c>
      <c r="Q130" s="5">
        <f>IF(B130="","",IFERROR(P130+E130+J130+K130,""))</f>
        <v/>
      </c>
      <c r="R130" s="5">
        <f>IF(B130="","",IFERROR(D130-Q130,""))</f>
        <v/>
      </c>
      <c r="S130" s="6">
        <f>IF(B130="","",IFERROR(IF(D130&gt;0,R130/D130,""),""))</f>
        <v/>
      </c>
      <c r="T130" s="5">
        <f>IF(S130="","",IF(S130&gt;=Targets!$B$11,"YES","NO"))</f>
        <v/>
      </c>
      <c r="U130" s="5">
        <f>IF(B130="","",IF(AND(L130="timer",M130="processor record"),"MEASURED","PARTIAL"))</f>
        <v/>
      </c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5">
        <f>IF(B131="","",SUM(F131:I131))</f>
        <v/>
      </c>
      <c r="O131" s="5">
        <f>IF(B131="","",IFERROR(INDEX(Targets!$E$4:$E$8,MATCH(B131,Targets!$A$4:$A$8,0)),"SKU?"))</f>
        <v/>
      </c>
      <c r="P131" s="5">
        <f>IF(B131="","",IFERROR(N131*O131,""))</f>
        <v/>
      </c>
      <c r="Q131" s="5">
        <f>IF(B131="","",IFERROR(P131+E131+J131+K131,""))</f>
        <v/>
      </c>
      <c r="R131" s="5">
        <f>IF(B131="","",IFERROR(D131-Q131,""))</f>
        <v/>
      </c>
      <c r="S131" s="6">
        <f>IF(B131="","",IFERROR(IF(D131&gt;0,R131/D131,""),""))</f>
        <v/>
      </c>
      <c r="T131" s="5">
        <f>IF(S131="","",IF(S131&gt;=Targets!$B$11,"YES","NO"))</f>
        <v/>
      </c>
      <c r="U131" s="5">
        <f>IF(B131="","",IF(AND(L131="timer",M131="processor record"),"MEASURED","PARTIAL"))</f>
        <v/>
      </c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5">
        <f>IF(B132="","",SUM(F132:I132))</f>
        <v/>
      </c>
      <c r="O132" s="5">
        <f>IF(B132="","",IFERROR(INDEX(Targets!$E$4:$E$8,MATCH(B132,Targets!$A$4:$A$8,0)),"SKU?"))</f>
        <v/>
      </c>
      <c r="P132" s="5">
        <f>IF(B132="","",IFERROR(N132*O132,""))</f>
        <v/>
      </c>
      <c r="Q132" s="5">
        <f>IF(B132="","",IFERROR(P132+E132+J132+K132,""))</f>
        <v/>
      </c>
      <c r="R132" s="5">
        <f>IF(B132="","",IFERROR(D132-Q132,""))</f>
        <v/>
      </c>
      <c r="S132" s="6">
        <f>IF(B132="","",IFERROR(IF(D132&gt;0,R132/D132,""),""))</f>
        <v/>
      </c>
      <c r="T132" s="5">
        <f>IF(S132="","",IF(S132&gt;=Targets!$B$11,"YES","NO"))</f>
        <v/>
      </c>
      <c r="U132" s="5">
        <f>IF(B132="","",IF(AND(L132="timer",M132="processor record"),"MEASURED","PARTIAL"))</f>
        <v/>
      </c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5">
        <f>IF(B133="","",SUM(F133:I133))</f>
        <v/>
      </c>
      <c r="O133" s="5">
        <f>IF(B133="","",IFERROR(INDEX(Targets!$E$4:$E$8,MATCH(B133,Targets!$A$4:$A$8,0)),"SKU?"))</f>
        <v/>
      </c>
      <c r="P133" s="5">
        <f>IF(B133="","",IFERROR(N133*O133,""))</f>
        <v/>
      </c>
      <c r="Q133" s="5">
        <f>IF(B133="","",IFERROR(P133+E133+J133+K133,""))</f>
        <v/>
      </c>
      <c r="R133" s="5">
        <f>IF(B133="","",IFERROR(D133-Q133,""))</f>
        <v/>
      </c>
      <c r="S133" s="6">
        <f>IF(B133="","",IFERROR(IF(D133&gt;0,R133/D133,""),""))</f>
        <v/>
      </c>
      <c r="T133" s="5">
        <f>IF(S133="","",IF(S133&gt;=Targets!$B$11,"YES","NO"))</f>
        <v/>
      </c>
      <c r="U133" s="5">
        <f>IF(B133="","",IF(AND(L133="timer",M133="processor record"),"MEASURED","PARTIAL"))</f>
        <v/>
      </c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5">
        <f>IF(B134="","",SUM(F134:I134))</f>
        <v/>
      </c>
      <c r="O134" s="5">
        <f>IF(B134="","",IFERROR(INDEX(Targets!$E$4:$E$8,MATCH(B134,Targets!$A$4:$A$8,0)),"SKU?"))</f>
        <v/>
      </c>
      <c r="P134" s="5">
        <f>IF(B134="","",IFERROR(N134*O134,""))</f>
        <v/>
      </c>
      <c r="Q134" s="5">
        <f>IF(B134="","",IFERROR(P134+E134+J134+K134,""))</f>
        <v/>
      </c>
      <c r="R134" s="5">
        <f>IF(B134="","",IFERROR(D134-Q134,""))</f>
        <v/>
      </c>
      <c r="S134" s="6">
        <f>IF(B134="","",IFERROR(IF(D134&gt;0,R134/D134,""),""))</f>
        <v/>
      </c>
      <c r="T134" s="5">
        <f>IF(S134="","",IF(S134&gt;=Targets!$B$11,"YES","NO"))</f>
        <v/>
      </c>
      <c r="U134" s="5">
        <f>IF(B134="","",IF(AND(L134="timer",M134="processor record"),"MEASURED","PARTIAL"))</f>
        <v/>
      </c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5">
        <f>IF(B135="","",SUM(F135:I135))</f>
        <v/>
      </c>
      <c r="O135" s="5">
        <f>IF(B135="","",IFERROR(INDEX(Targets!$E$4:$E$8,MATCH(B135,Targets!$A$4:$A$8,0)),"SKU?"))</f>
        <v/>
      </c>
      <c r="P135" s="5">
        <f>IF(B135="","",IFERROR(N135*O135,""))</f>
        <v/>
      </c>
      <c r="Q135" s="5">
        <f>IF(B135="","",IFERROR(P135+E135+J135+K135,""))</f>
        <v/>
      </c>
      <c r="R135" s="5">
        <f>IF(B135="","",IFERROR(D135-Q135,""))</f>
        <v/>
      </c>
      <c r="S135" s="6">
        <f>IF(B135="","",IFERROR(IF(D135&gt;0,R135/D135,""),""))</f>
        <v/>
      </c>
      <c r="T135" s="5">
        <f>IF(S135="","",IF(S135&gt;=Targets!$B$11,"YES","NO"))</f>
        <v/>
      </c>
      <c r="U135" s="5">
        <f>IF(B135="","",IF(AND(L135="timer",M135="processor record"),"MEASURED","PARTIAL"))</f>
        <v/>
      </c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5">
        <f>IF(B136="","",SUM(F136:I136))</f>
        <v/>
      </c>
      <c r="O136" s="5">
        <f>IF(B136="","",IFERROR(INDEX(Targets!$E$4:$E$8,MATCH(B136,Targets!$A$4:$A$8,0)),"SKU?"))</f>
        <v/>
      </c>
      <c r="P136" s="5">
        <f>IF(B136="","",IFERROR(N136*O136,""))</f>
        <v/>
      </c>
      <c r="Q136" s="5">
        <f>IF(B136="","",IFERROR(P136+E136+J136+K136,""))</f>
        <v/>
      </c>
      <c r="R136" s="5">
        <f>IF(B136="","",IFERROR(D136-Q136,""))</f>
        <v/>
      </c>
      <c r="S136" s="6">
        <f>IF(B136="","",IFERROR(IF(D136&gt;0,R136/D136,""),""))</f>
        <v/>
      </c>
      <c r="T136" s="5">
        <f>IF(S136="","",IF(S136&gt;=Targets!$B$11,"YES","NO"))</f>
        <v/>
      </c>
      <c r="U136" s="5">
        <f>IF(B136="","",IF(AND(L136="timer",M136="processor record"),"MEASURED","PARTIAL"))</f>
        <v/>
      </c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5">
        <f>IF(B137="","",SUM(F137:I137))</f>
        <v/>
      </c>
      <c r="O137" s="5">
        <f>IF(B137="","",IFERROR(INDEX(Targets!$E$4:$E$8,MATCH(B137,Targets!$A$4:$A$8,0)),"SKU?"))</f>
        <v/>
      </c>
      <c r="P137" s="5">
        <f>IF(B137="","",IFERROR(N137*O137,""))</f>
        <v/>
      </c>
      <c r="Q137" s="5">
        <f>IF(B137="","",IFERROR(P137+E137+J137+K137,""))</f>
        <v/>
      </c>
      <c r="R137" s="5">
        <f>IF(B137="","",IFERROR(D137-Q137,""))</f>
        <v/>
      </c>
      <c r="S137" s="6">
        <f>IF(B137="","",IFERROR(IF(D137&gt;0,R137/D137,""),""))</f>
        <v/>
      </c>
      <c r="T137" s="5">
        <f>IF(S137="","",IF(S137&gt;=Targets!$B$11,"YES","NO"))</f>
        <v/>
      </c>
      <c r="U137" s="5">
        <f>IF(B137="","",IF(AND(L137="timer",M137="processor record"),"MEASURED","PARTIAL"))</f>
        <v/>
      </c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5">
        <f>IF(B138="","",SUM(F138:I138))</f>
        <v/>
      </c>
      <c r="O138" s="5">
        <f>IF(B138="","",IFERROR(INDEX(Targets!$E$4:$E$8,MATCH(B138,Targets!$A$4:$A$8,0)),"SKU?"))</f>
        <v/>
      </c>
      <c r="P138" s="5">
        <f>IF(B138="","",IFERROR(N138*O138,""))</f>
        <v/>
      </c>
      <c r="Q138" s="5">
        <f>IF(B138="","",IFERROR(P138+E138+J138+K138,""))</f>
        <v/>
      </c>
      <c r="R138" s="5">
        <f>IF(B138="","",IFERROR(D138-Q138,""))</f>
        <v/>
      </c>
      <c r="S138" s="6">
        <f>IF(B138="","",IFERROR(IF(D138&gt;0,R138/D138,""),""))</f>
        <v/>
      </c>
      <c r="T138" s="5">
        <f>IF(S138="","",IF(S138&gt;=Targets!$B$11,"YES","NO"))</f>
        <v/>
      </c>
      <c r="U138" s="5">
        <f>IF(B138="","",IF(AND(L138="timer",M138="processor record"),"MEASURED","PARTIAL"))</f>
        <v/>
      </c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5">
        <f>IF(B139="","",SUM(F139:I139))</f>
        <v/>
      </c>
      <c r="O139" s="5">
        <f>IF(B139="","",IFERROR(INDEX(Targets!$E$4:$E$8,MATCH(B139,Targets!$A$4:$A$8,0)),"SKU?"))</f>
        <v/>
      </c>
      <c r="P139" s="5">
        <f>IF(B139="","",IFERROR(N139*O139,""))</f>
        <v/>
      </c>
      <c r="Q139" s="5">
        <f>IF(B139="","",IFERROR(P139+E139+J139+K139,""))</f>
        <v/>
      </c>
      <c r="R139" s="5">
        <f>IF(B139="","",IFERROR(D139-Q139,""))</f>
        <v/>
      </c>
      <c r="S139" s="6">
        <f>IF(B139="","",IFERROR(IF(D139&gt;0,R139/D139,""),""))</f>
        <v/>
      </c>
      <c r="T139" s="5">
        <f>IF(S139="","",IF(S139&gt;=Targets!$B$11,"YES","NO"))</f>
        <v/>
      </c>
      <c r="U139" s="5">
        <f>IF(B139="","",IF(AND(L139="timer",M139="processor record"),"MEASURED","PARTIAL"))</f>
        <v/>
      </c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5">
        <f>IF(B140="","",SUM(F140:I140))</f>
        <v/>
      </c>
      <c r="O140" s="5">
        <f>IF(B140="","",IFERROR(INDEX(Targets!$E$4:$E$8,MATCH(B140,Targets!$A$4:$A$8,0)),"SKU?"))</f>
        <v/>
      </c>
      <c r="P140" s="5">
        <f>IF(B140="","",IFERROR(N140*O140,""))</f>
        <v/>
      </c>
      <c r="Q140" s="5">
        <f>IF(B140="","",IFERROR(P140+E140+J140+K140,""))</f>
        <v/>
      </c>
      <c r="R140" s="5">
        <f>IF(B140="","",IFERROR(D140-Q140,""))</f>
        <v/>
      </c>
      <c r="S140" s="6">
        <f>IF(B140="","",IFERROR(IF(D140&gt;0,R140/D140,""),""))</f>
        <v/>
      </c>
      <c r="T140" s="5">
        <f>IF(S140="","",IF(S140&gt;=Targets!$B$11,"YES","NO"))</f>
        <v/>
      </c>
      <c r="U140" s="5">
        <f>IF(B140="","",IF(AND(L140="timer",M140="processor record"),"MEASURED","PARTIAL"))</f>
        <v/>
      </c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5">
        <f>IF(B141="","",SUM(F141:I141))</f>
        <v/>
      </c>
      <c r="O141" s="5">
        <f>IF(B141="","",IFERROR(INDEX(Targets!$E$4:$E$8,MATCH(B141,Targets!$A$4:$A$8,0)),"SKU?"))</f>
        <v/>
      </c>
      <c r="P141" s="5">
        <f>IF(B141="","",IFERROR(N141*O141,""))</f>
        <v/>
      </c>
      <c r="Q141" s="5">
        <f>IF(B141="","",IFERROR(P141+E141+J141+K141,""))</f>
        <v/>
      </c>
      <c r="R141" s="5">
        <f>IF(B141="","",IFERROR(D141-Q141,""))</f>
        <v/>
      </c>
      <c r="S141" s="6">
        <f>IF(B141="","",IFERROR(IF(D141&gt;0,R141/D141,""),""))</f>
        <v/>
      </c>
      <c r="T141" s="5">
        <f>IF(S141="","",IF(S141&gt;=Targets!$B$11,"YES","NO"))</f>
        <v/>
      </c>
      <c r="U141" s="5">
        <f>IF(B141="","",IF(AND(L141="timer",M141="processor record"),"MEASURED","PARTIAL"))</f>
        <v/>
      </c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5">
        <f>IF(B142="","",SUM(F142:I142))</f>
        <v/>
      </c>
      <c r="O142" s="5">
        <f>IF(B142="","",IFERROR(INDEX(Targets!$E$4:$E$8,MATCH(B142,Targets!$A$4:$A$8,0)),"SKU?"))</f>
        <v/>
      </c>
      <c r="P142" s="5">
        <f>IF(B142="","",IFERROR(N142*O142,""))</f>
        <v/>
      </c>
      <c r="Q142" s="5">
        <f>IF(B142="","",IFERROR(P142+E142+J142+K142,""))</f>
        <v/>
      </c>
      <c r="R142" s="5">
        <f>IF(B142="","",IFERROR(D142-Q142,""))</f>
        <v/>
      </c>
      <c r="S142" s="6">
        <f>IF(B142="","",IFERROR(IF(D142&gt;0,R142/D142,""),""))</f>
        <v/>
      </c>
      <c r="T142" s="5">
        <f>IF(S142="","",IF(S142&gt;=Targets!$B$11,"YES","NO"))</f>
        <v/>
      </c>
      <c r="U142" s="5">
        <f>IF(B142="","",IF(AND(L142="timer",M142="processor record"),"MEASURED","PARTIAL"))</f>
        <v/>
      </c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5">
        <f>IF(B143="","",SUM(F143:I143))</f>
        <v/>
      </c>
      <c r="O143" s="5">
        <f>IF(B143="","",IFERROR(INDEX(Targets!$E$4:$E$8,MATCH(B143,Targets!$A$4:$A$8,0)),"SKU?"))</f>
        <v/>
      </c>
      <c r="P143" s="5">
        <f>IF(B143="","",IFERROR(N143*O143,""))</f>
        <v/>
      </c>
      <c r="Q143" s="5">
        <f>IF(B143="","",IFERROR(P143+E143+J143+K143,""))</f>
        <v/>
      </c>
      <c r="R143" s="5">
        <f>IF(B143="","",IFERROR(D143-Q143,""))</f>
        <v/>
      </c>
      <c r="S143" s="6">
        <f>IF(B143="","",IFERROR(IF(D143&gt;0,R143/D143,""),""))</f>
        <v/>
      </c>
      <c r="T143" s="5">
        <f>IF(S143="","",IF(S143&gt;=Targets!$B$11,"YES","NO"))</f>
        <v/>
      </c>
      <c r="U143" s="5">
        <f>IF(B143="","",IF(AND(L143="timer",M143="processor record"),"MEASURED","PARTIAL"))</f>
        <v/>
      </c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5">
        <f>IF(B144="","",SUM(F144:I144))</f>
        <v/>
      </c>
      <c r="O144" s="5">
        <f>IF(B144="","",IFERROR(INDEX(Targets!$E$4:$E$8,MATCH(B144,Targets!$A$4:$A$8,0)),"SKU?"))</f>
        <v/>
      </c>
      <c r="P144" s="5">
        <f>IF(B144="","",IFERROR(N144*O144,""))</f>
        <v/>
      </c>
      <c r="Q144" s="5">
        <f>IF(B144="","",IFERROR(P144+E144+J144+K144,""))</f>
        <v/>
      </c>
      <c r="R144" s="5">
        <f>IF(B144="","",IFERROR(D144-Q144,""))</f>
        <v/>
      </c>
      <c r="S144" s="6">
        <f>IF(B144="","",IFERROR(IF(D144&gt;0,R144/D144,""),""))</f>
        <v/>
      </c>
      <c r="T144" s="5">
        <f>IF(S144="","",IF(S144&gt;=Targets!$B$11,"YES","NO"))</f>
        <v/>
      </c>
      <c r="U144" s="5">
        <f>IF(B144="","",IF(AND(L144="timer",M144="processor record"),"MEASURED","PARTIAL"))</f>
        <v/>
      </c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5">
        <f>IF(B145="","",SUM(F145:I145))</f>
        <v/>
      </c>
      <c r="O145" s="5">
        <f>IF(B145="","",IFERROR(INDEX(Targets!$E$4:$E$8,MATCH(B145,Targets!$A$4:$A$8,0)),"SKU?"))</f>
        <v/>
      </c>
      <c r="P145" s="5">
        <f>IF(B145="","",IFERROR(N145*O145,""))</f>
        <v/>
      </c>
      <c r="Q145" s="5">
        <f>IF(B145="","",IFERROR(P145+E145+J145+K145,""))</f>
        <v/>
      </c>
      <c r="R145" s="5">
        <f>IF(B145="","",IFERROR(D145-Q145,""))</f>
        <v/>
      </c>
      <c r="S145" s="6">
        <f>IF(B145="","",IFERROR(IF(D145&gt;0,R145/D145,""),""))</f>
        <v/>
      </c>
      <c r="T145" s="5">
        <f>IF(S145="","",IF(S145&gt;=Targets!$B$11,"YES","NO"))</f>
        <v/>
      </c>
      <c r="U145" s="5">
        <f>IF(B145="","",IF(AND(L145="timer",M145="processor record"),"MEASURED","PARTIAL"))</f>
        <v/>
      </c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5">
        <f>IF(B146="","",SUM(F146:I146))</f>
        <v/>
      </c>
      <c r="O146" s="5">
        <f>IF(B146="","",IFERROR(INDEX(Targets!$E$4:$E$8,MATCH(B146,Targets!$A$4:$A$8,0)),"SKU?"))</f>
        <v/>
      </c>
      <c r="P146" s="5">
        <f>IF(B146="","",IFERROR(N146*O146,""))</f>
        <v/>
      </c>
      <c r="Q146" s="5">
        <f>IF(B146="","",IFERROR(P146+E146+J146+K146,""))</f>
        <v/>
      </c>
      <c r="R146" s="5">
        <f>IF(B146="","",IFERROR(D146-Q146,""))</f>
        <v/>
      </c>
      <c r="S146" s="6">
        <f>IF(B146="","",IFERROR(IF(D146&gt;0,R146/D146,""),""))</f>
        <v/>
      </c>
      <c r="T146" s="5">
        <f>IF(S146="","",IF(S146&gt;=Targets!$B$11,"YES","NO"))</f>
        <v/>
      </c>
      <c r="U146" s="5">
        <f>IF(B146="","",IF(AND(L146="timer",M146="processor record"),"MEASURED","PARTIAL"))</f>
        <v/>
      </c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5">
        <f>IF(B147="","",SUM(F147:I147))</f>
        <v/>
      </c>
      <c r="O147" s="5">
        <f>IF(B147="","",IFERROR(INDEX(Targets!$E$4:$E$8,MATCH(B147,Targets!$A$4:$A$8,0)),"SKU?"))</f>
        <v/>
      </c>
      <c r="P147" s="5">
        <f>IF(B147="","",IFERROR(N147*O147,""))</f>
        <v/>
      </c>
      <c r="Q147" s="5">
        <f>IF(B147="","",IFERROR(P147+E147+J147+K147,""))</f>
        <v/>
      </c>
      <c r="R147" s="5">
        <f>IF(B147="","",IFERROR(D147-Q147,""))</f>
        <v/>
      </c>
      <c r="S147" s="6">
        <f>IF(B147="","",IFERROR(IF(D147&gt;0,R147/D147,""),""))</f>
        <v/>
      </c>
      <c r="T147" s="5">
        <f>IF(S147="","",IF(S147&gt;=Targets!$B$11,"YES","NO"))</f>
        <v/>
      </c>
      <c r="U147" s="5">
        <f>IF(B147="","",IF(AND(L147="timer",M147="processor record"),"MEASURED","PARTIAL"))</f>
        <v/>
      </c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5">
        <f>IF(B148="","",SUM(F148:I148))</f>
        <v/>
      </c>
      <c r="O148" s="5">
        <f>IF(B148="","",IFERROR(INDEX(Targets!$E$4:$E$8,MATCH(B148,Targets!$A$4:$A$8,0)),"SKU?"))</f>
        <v/>
      </c>
      <c r="P148" s="5">
        <f>IF(B148="","",IFERROR(N148*O148,""))</f>
        <v/>
      </c>
      <c r="Q148" s="5">
        <f>IF(B148="","",IFERROR(P148+E148+J148+K148,""))</f>
        <v/>
      </c>
      <c r="R148" s="5">
        <f>IF(B148="","",IFERROR(D148-Q148,""))</f>
        <v/>
      </c>
      <c r="S148" s="6">
        <f>IF(B148="","",IFERROR(IF(D148&gt;0,R148/D148,""),""))</f>
        <v/>
      </c>
      <c r="T148" s="5">
        <f>IF(S148="","",IF(S148&gt;=Targets!$B$11,"YES","NO"))</f>
        <v/>
      </c>
      <c r="U148" s="5">
        <f>IF(B148="","",IF(AND(L148="timer",M148="processor record"),"MEASURED","PARTIAL"))</f>
        <v/>
      </c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5">
        <f>IF(B149="","",SUM(F149:I149))</f>
        <v/>
      </c>
      <c r="O149" s="5">
        <f>IF(B149="","",IFERROR(INDEX(Targets!$E$4:$E$8,MATCH(B149,Targets!$A$4:$A$8,0)),"SKU?"))</f>
        <v/>
      </c>
      <c r="P149" s="5">
        <f>IF(B149="","",IFERROR(N149*O149,""))</f>
        <v/>
      </c>
      <c r="Q149" s="5">
        <f>IF(B149="","",IFERROR(P149+E149+J149+K149,""))</f>
        <v/>
      </c>
      <c r="R149" s="5">
        <f>IF(B149="","",IFERROR(D149-Q149,""))</f>
        <v/>
      </c>
      <c r="S149" s="6">
        <f>IF(B149="","",IFERROR(IF(D149&gt;0,R149/D149,""),""))</f>
        <v/>
      </c>
      <c r="T149" s="5">
        <f>IF(S149="","",IF(S149&gt;=Targets!$B$11,"YES","NO"))</f>
        <v/>
      </c>
      <c r="U149" s="5">
        <f>IF(B149="","",IF(AND(L149="timer",M149="processor record"),"MEASURED","PARTIAL"))</f>
        <v/>
      </c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5">
        <f>IF(B150="","",SUM(F150:I150))</f>
        <v/>
      </c>
      <c r="O150" s="5">
        <f>IF(B150="","",IFERROR(INDEX(Targets!$E$4:$E$8,MATCH(B150,Targets!$A$4:$A$8,0)),"SKU?"))</f>
        <v/>
      </c>
      <c r="P150" s="5">
        <f>IF(B150="","",IFERROR(N150*O150,""))</f>
        <v/>
      </c>
      <c r="Q150" s="5">
        <f>IF(B150="","",IFERROR(P150+E150+J150+K150,""))</f>
        <v/>
      </c>
      <c r="R150" s="5">
        <f>IF(B150="","",IFERROR(D150-Q150,""))</f>
        <v/>
      </c>
      <c r="S150" s="6">
        <f>IF(B150="","",IFERROR(IF(D150&gt;0,R150/D150,""),""))</f>
        <v/>
      </c>
      <c r="T150" s="5">
        <f>IF(S150="","",IF(S150&gt;=Targets!$B$11,"YES","NO"))</f>
        <v/>
      </c>
      <c r="U150" s="5">
        <f>IF(B150="","",IF(AND(L150="timer",M150="processor record"),"MEASURED","PARTIAL"))</f>
        <v/>
      </c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5">
        <f>IF(B151="","",SUM(F151:I151))</f>
        <v/>
      </c>
      <c r="O151" s="5">
        <f>IF(B151="","",IFERROR(INDEX(Targets!$E$4:$E$8,MATCH(B151,Targets!$A$4:$A$8,0)),"SKU?"))</f>
        <v/>
      </c>
      <c r="P151" s="5">
        <f>IF(B151="","",IFERROR(N151*O151,""))</f>
        <v/>
      </c>
      <c r="Q151" s="5">
        <f>IF(B151="","",IFERROR(P151+E151+J151+K151,""))</f>
        <v/>
      </c>
      <c r="R151" s="5">
        <f>IF(B151="","",IFERROR(D151-Q151,""))</f>
        <v/>
      </c>
      <c r="S151" s="6">
        <f>IF(B151="","",IFERROR(IF(D151&gt;0,R151/D151,""),""))</f>
        <v/>
      </c>
      <c r="T151" s="5">
        <f>IF(S151="","",IF(S151&gt;=Targets!$B$11,"YES","NO"))</f>
        <v/>
      </c>
      <c r="U151" s="5">
        <f>IF(B151="","",IF(AND(L151="timer",M151="processor record"),"MEASURED","PARTIAL"))</f>
        <v/>
      </c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5">
        <f>IF(B152="","",SUM(F152:I152))</f>
        <v/>
      </c>
      <c r="O152" s="5">
        <f>IF(B152="","",IFERROR(INDEX(Targets!$E$4:$E$8,MATCH(B152,Targets!$A$4:$A$8,0)),"SKU?"))</f>
        <v/>
      </c>
      <c r="P152" s="5">
        <f>IF(B152="","",IFERROR(N152*O152,""))</f>
        <v/>
      </c>
      <c r="Q152" s="5">
        <f>IF(B152="","",IFERROR(P152+E152+J152+K152,""))</f>
        <v/>
      </c>
      <c r="R152" s="5">
        <f>IF(B152="","",IFERROR(D152-Q152,""))</f>
        <v/>
      </c>
      <c r="S152" s="6">
        <f>IF(B152="","",IFERROR(IF(D152&gt;0,R152/D152,""),""))</f>
        <v/>
      </c>
      <c r="T152" s="5">
        <f>IF(S152="","",IF(S152&gt;=Targets!$B$11,"YES","NO"))</f>
        <v/>
      </c>
      <c r="U152" s="5">
        <f>IF(B152="","",IF(AND(L152="timer",M152="processor record"),"MEASURED","PARTIAL"))</f>
        <v/>
      </c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5">
        <f>IF(B153="","",SUM(F153:I153))</f>
        <v/>
      </c>
      <c r="O153" s="5">
        <f>IF(B153="","",IFERROR(INDEX(Targets!$E$4:$E$8,MATCH(B153,Targets!$A$4:$A$8,0)),"SKU?"))</f>
        <v/>
      </c>
      <c r="P153" s="5">
        <f>IF(B153="","",IFERROR(N153*O153,""))</f>
        <v/>
      </c>
      <c r="Q153" s="5">
        <f>IF(B153="","",IFERROR(P153+E153+J153+K153,""))</f>
        <v/>
      </c>
      <c r="R153" s="5">
        <f>IF(B153="","",IFERROR(D153-Q153,""))</f>
        <v/>
      </c>
      <c r="S153" s="6">
        <f>IF(B153="","",IFERROR(IF(D153&gt;0,R153/D153,""),""))</f>
        <v/>
      </c>
      <c r="T153" s="5">
        <f>IF(S153="","",IF(S153&gt;=Targets!$B$11,"YES","NO"))</f>
        <v/>
      </c>
      <c r="U153" s="5">
        <f>IF(B153="","",IF(AND(L153="timer",M153="processor record"),"MEASURED","PARTIAL"))</f>
        <v/>
      </c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5">
        <f>IF(B154="","",SUM(F154:I154))</f>
        <v/>
      </c>
      <c r="O154" s="5">
        <f>IF(B154="","",IFERROR(INDEX(Targets!$E$4:$E$8,MATCH(B154,Targets!$A$4:$A$8,0)),"SKU?"))</f>
        <v/>
      </c>
      <c r="P154" s="5">
        <f>IF(B154="","",IFERROR(N154*O154,""))</f>
        <v/>
      </c>
      <c r="Q154" s="5">
        <f>IF(B154="","",IFERROR(P154+E154+J154+K154,""))</f>
        <v/>
      </c>
      <c r="R154" s="5">
        <f>IF(B154="","",IFERROR(D154-Q154,""))</f>
        <v/>
      </c>
      <c r="S154" s="6">
        <f>IF(B154="","",IFERROR(IF(D154&gt;0,R154/D154,""),""))</f>
        <v/>
      </c>
      <c r="T154" s="5">
        <f>IF(S154="","",IF(S154&gt;=Targets!$B$11,"YES","NO"))</f>
        <v/>
      </c>
      <c r="U154" s="5">
        <f>IF(B154="","",IF(AND(L154="timer",M154="processor record"),"MEASURED","PARTIAL"))</f>
        <v/>
      </c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5">
        <f>IF(B155="","",SUM(F155:I155))</f>
        <v/>
      </c>
      <c r="O155" s="5">
        <f>IF(B155="","",IFERROR(INDEX(Targets!$E$4:$E$8,MATCH(B155,Targets!$A$4:$A$8,0)),"SKU?"))</f>
        <v/>
      </c>
      <c r="P155" s="5">
        <f>IF(B155="","",IFERROR(N155*O155,""))</f>
        <v/>
      </c>
      <c r="Q155" s="5">
        <f>IF(B155="","",IFERROR(P155+E155+J155+K155,""))</f>
        <v/>
      </c>
      <c r="R155" s="5">
        <f>IF(B155="","",IFERROR(D155-Q155,""))</f>
        <v/>
      </c>
      <c r="S155" s="6">
        <f>IF(B155="","",IFERROR(IF(D155&gt;0,R155/D155,""),""))</f>
        <v/>
      </c>
      <c r="T155" s="5">
        <f>IF(S155="","",IF(S155&gt;=Targets!$B$11,"YES","NO"))</f>
        <v/>
      </c>
      <c r="U155" s="5">
        <f>IF(B155="","",IF(AND(L155="timer",M155="processor record"),"MEASURED","PARTIAL"))</f>
        <v/>
      </c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5">
        <f>IF(B156="","",SUM(F156:I156))</f>
        <v/>
      </c>
      <c r="O156" s="5">
        <f>IF(B156="","",IFERROR(INDEX(Targets!$E$4:$E$8,MATCH(B156,Targets!$A$4:$A$8,0)),"SKU?"))</f>
        <v/>
      </c>
      <c r="P156" s="5">
        <f>IF(B156="","",IFERROR(N156*O156,""))</f>
        <v/>
      </c>
      <c r="Q156" s="5">
        <f>IF(B156="","",IFERROR(P156+E156+J156+K156,""))</f>
        <v/>
      </c>
      <c r="R156" s="5">
        <f>IF(B156="","",IFERROR(D156-Q156,""))</f>
        <v/>
      </c>
      <c r="S156" s="6">
        <f>IF(B156="","",IFERROR(IF(D156&gt;0,R156/D156,""),""))</f>
        <v/>
      </c>
      <c r="T156" s="5">
        <f>IF(S156="","",IF(S156&gt;=Targets!$B$11,"YES","NO"))</f>
        <v/>
      </c>
      <c r="U156" s="5">
        <f>IF(B156="","",IF(AND(L156="timer",M156="processor record"),"MEASURED","PARTIAL"))</f>
        <v/>
      </c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5">
        <f>IF(B157="","",SUM(F157:I157))</f>
        <v/>
      </c>
      <c r="O157" s="5">
        <f>IF(B157="","",IFERROR(INDEX(Targets!$E$4:$E$8,MATCH(B157,Targets!$A$4:$A$8,0)),"SKU?"))</f>
        <v/>
      </c>
      <c r="P157" s="5">
        <f>IF(B157="","",IFERROR(N157*O157,""))</f>
        <v/>
      </c>
      <c r="Q157" s="5">
        <f>IF(B157="","",IFERROR(P157+E157+J157+K157,""))</f>
        <v/>
      </c>
      <c r="R157" s="5">
        <f>IF(B157="","",IFERROR(D157-Q157,""))</f>
        <v/>
      </c>
      <c r="S157" s="6">
        <f>IF(B157="","",IFERROR(IF(D157&gt;0,R157/D157,""),""))</f>
        <v/>
      </c>
      <c r="T157" s="5">
        <f>IF(S157="","",IF(S157&gt;=Targets!$B$11,"YES","NO"))</f>
        <v/>
      </c>
      <c r="U157" s="5">
        <f>IF(B157="","",IF(AND(L157="timer",M157="processor record"),"MEASURED","PARTIAL"))</f>
        <v/>
      </c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5">
        <f>IF(B158="","",SUM(F158:I158))</f>
        <v/>
      </c>
      <c r="O158" s="5">
        <f>IF(B158="","",IFERROR(INDEX(Targets!$E$4:$E$8,MATCH(B158,Targets!$A$4:$A$8,0)),"SKU?"))</f>
        <v/>
      </c>
      <c r="P158" s="5">
        <f>IF(B158="","",IFERROR(N158*O158,""))</f>
        <v/>
      </c>
      <c r="Q158" s="5">
        <f>IF(B158="","",IFERROR(P158+E158+J158+K158,""))</f>
        <v/>
      </c>
      <c r="R158" s="5">
        <f>IF(B158="","",IFERROR(D158-Q158,""))</f>
        <v/>
      </c>
      <c r="S158" s="6">
        <f>IF(B158="","",IFERROR(IF(D158&gt;0,R158/D158,""),""))</f>
        <v/>
      </c>
      <c r="T158" s="5">
        <f>IF(S158="","",IF(S158&gt;=Targets!$B$11,"YES","NO"))</f>
        <v/>
      </c>
      <c r="U158" s="5">
        <f>IF(B158="","",IF(AND(L158="timer",M158="processor record"),"MEASURED","PARTIAL"))</f>
        <v/>
      </c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5">
        <f>IF(B159="","",SUM(F159:I159))</f>
        <v/>
      </c>
      <c r="O159" s="5">
        <f>IF(B159="","",IFERROR(INDEX(Targets!$E$4:$E$8,MATCH(B159,Targets!$A$4:$A$8,0)),"SKU?"))</f>
        <v/>
      </c>
      <c r="P159" s="5">
        <f>IF(B159="","",IFERROR(N159*O159,""))</f>
        <v/>
      </c>
      <c r="Q159" s="5">
        <f>IF(B159="","",IFERROR(P159+E159+J159+K159,""))</f>
        <v/>
      </c>
      <c r="R159" s="5">
        <f>IF(B159="","",IFERROR(D159-Q159,""))</f>
        <v/>
      </c>
      <c r="S159" s="6">
        <f>IF(B159="","",IFERROR(IF(D159&gt;0,R159/D159,""),""))</f>
        <v/>
      </c>
      <c r="T159" s="5">
        <f>IF(S159="","",IF(S159&gt;=Targets!$B$11,"YES","NO"))</f>
        <v/>
      </c>
      <c r="U159" s="5">
        <f>IF(B159="","",IF(AND(L159="timer",M159="processor record"),"MEASURED","PARTIAL"))</f>
        <v/>
      </c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5">
        <f>IF(B160="","",SUM(F160:I160))</f>
        <v/>
      </c>
      <c r="O160" s="5">
        <f>IF(B160="","",IFERROR(INDEX(Targets!$E$4:$E$8,MATCH(B160,Targets!$A$4:$A$8,0)),"SKU?"))</f>
        <v/>
      </c>
      <c r="P160" s="5">
        <f>IF(B160="","",IFERROR(N160*O160,""))</f>
        <v/>
      </c>
      <c r="Q160" s="5">
        <f>IF(B160="","",IFERROR(P160+E160+J160+K160,""))</f>
        <v/>
      </c>
      <c r="R160" s="5">
        <f>IF(B160="","",IFERROR(D160-Q160,""))</f>
        <v/>
      </c>
      <c r="S160" s="6">
        <f>IF(B160="","",IFERROR(IF(D160&gt;0,R160/D160,""),""))</f>
        <v/>
      </c>
      <c r="T160" s="5">
        <f>IF(S160="","",IF(S160&gt;=Targets!$B$11,"YES","NO"))</f>
        <v/>
      </c>
      <c r="U160" s="5">
        <f>IF(B160="","",IF(AND(L160="timer",M160="processor record"),"MEASURED","PARTIAL"))</f>
        <v/>
      </c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5">
        <f>IF(B161="","",SUM(F161:I161))</f>
        <v/>
      </c>
      <c r="O161" s="5">
        <f>IF(B161="","",IFERROR(INDEX(Targets!$E$4:$E$8,MATCH(B161,Targets!$A$4:$A$8,0)),"SKU?"))</f>
        <v/>
      </c>
      <c r="P161" s="5">
        <f>IF(B161="","",IFERROR(N161*O161,""))</f>
        <v/>
      </c>
      <c r="Q161" s="5">
        <f>IF(B161="","",IFERROR(P161+E161+J161+K161,""))</f>
        <v/>
      </c>
      <c r="R161" s="5">
        <f>IF(B161="","",IFERROR(D161-Q161,""))</f>
        <v/>
      </c>
      <c r="S161" s="6">
        <f>IF(B161="","",IFERROR(IF(D161&gt;0,R161/D161,""),""))</f>
        <v/>
      </c>
      <c r="T161" s="5">
        <f>IF(S161="","",IF(S161&gt;=Targets!$B$11,"YES","NO"))</f>
        <v/>
      </c>
      <c r="U161" s="5">
        <f>IF(B161="","",IF(AND(L161="timer",M161="processor record"),"MEASURED","PARTIAL"))</f>
        <v/>
      </c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5">
        <f>IF(B162="","",SUM(F162:I162))</f>
        <v/>
      </c>
      <c r="O162" s="5">
        <f>IF(B162="","",IFERROR(INDEX(Targets!$E$4:$E$8,MATCH(B162,Targets!$A$4:$A$8,0)),"SKU?"))</f>
        <v/>
      </c>
      <c r="P162" s="5">
        <f>IF(B162="","",IFERROR(N162*O162,""))</f>
        <v/>
      </c>
      <c r="Q162" s="5">
        <f>IF(B162="","",IFERROR(P162+E162+J162+K162,""))</f>
        <v/>
      </c>
      <c r="R162" s="5">
        <f>IF(B162="","",IFERROR(D162-Q162,""))</f>
        <v/>
      </c>
      <c r="S162" s="6">
        <f>IF(B162="","",IFERROR(IF(D162&gt;0,R162/D162,""),""))</f>
        <v/>
      </c>
      <c r="T162" s="5">
        <f>IF(S162="","",IF(S162&gt;=Targets!$B$11,"YES","NO"))</f>
        <v/>
      </c>
      <c r="U162" s="5">
        <f>IF(B162="","",IF(AND(L162="timer",M162="processor record"),"MEASURED","PARTIAL"))</f>
        <v/>
      </c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5">
        <f>IF(B163="","",SUM(F163:I163))</f>
        <v/>
      </c>
      <c r="O163" s="5">
        <f>IF(B163="","",IFERROR(INDEX(Targets!$E$4:$E$8,MATCH(B163,Targets!$A$4:$A$8,0)),"SKU?"))</f>
        <v/>
      </c>
      <c r="P163" s="5">
        <f>IF(B163="","",IFERROR(N163*O163,""))</f>
        <v/>
      </c>
      <c r="Q163" s="5">
        <f>IF(B163="","",IFERROR(P163+E163+J163+K163,""))</f>
        <v/>
      </c>
      <c r="R163" s="5">
        <f>IF(B163="","",IFERROR(D163-Q163,""))</f>
        <v/>
      </c>
      <c r="S163" s="6">
        <f>IF(B163="","",IFERROR(IF(D163&gt;0,R163/D163,""),""))</f>
        <v/>
      </c>
      <c r="T163" s="5">
        <f>IF(S163="","",IF(S163&gt;=Targets!$B$11,"YES","NO"))</f>
        <v/>
      </c>
      <c r="U163" s="5">
        <f>IF(B163="","",IF(AND(L163="timer",M163="processor record"),"MEASURED","PARTIAL"))</f>
        <v/>
      </c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5">
        <f>IF(B164="","",SUM(F164:I164))</f>
        <v/>
      </c>
      <c r="O164" s="5">
        <f>IF(B164="","",IFERROR(INDEX(Targets!$E$4:$E$8,MATCH(B164,Targets!$A$4:$A$8,0)),"SKU?"))</f>
        <v/>
      </c>
      <c r="P164" s="5">
        <f>IF(B164="","",IFERROR(N164*O164,""))</f>
        <v/>
      </c>
      <c r="Q164" s="5">
        <f>IF(B164="","",IFERROR(P164+E164+J164+K164,""))</f>
        <v/>
      </c>
      <c r="R164" s="5">
        <f>IF(B164="","",IFERROR(D164-Q164,""))</f>
        <v/>
      </c>
      <c r="S164" s="6">
        <f>IF(B164="","",IFERROR(IF(D164&gt;0,R164/D164,""),""))</f>
        <v/>
      </c>
      <c r="T164" s="5">
        <f>IF(S164="","",IF(S164&gt;=Targets!$B$11,"YES","NO"))</f>
        <v/>
      </c>
      <c r="U164" s="5">
        <f>IF(B164="","",IF(AND(L164="timer",M164="processor record"),"MEASURED","PARTIAL"))</f>
        <v/>
      </c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5">
        <f>IF(B165="","",SUM(F165:I165))</f>
        <v/>
      </c>
      <c r="O165" s="5">
        <f>IF(B165="","",IFERROR(INDEX(Targets!$E$4:$E$8,MATCH(B165,Targets!$A$4:$A$8,0)),"SKU?"))</f>
        <v/>
      </c>
      <c r="P165" s="5">
        <f>IF(B165="","",IFERROR(N165*O165,""))</f>
        <v/>
      </c>
      <c r="Q165" s="5">
        <f>IF(B165="","",IFERROR(P165+E165+J165+K165,""))</f>
        <v/>
      </c>
      <c r="R165" s="5">
        <f>IF(B165="","",IFERROR(D165-Q165,""))</f>
        <v/>
      </c>
      <c r="S165" s="6">
        <f>IF(B165="","",IFERROR(IF(D165&gt;0,R165/D165,""),""))</f>
        <v/>
      </c>
      <c r="T165" s="5">
        <f>IF(S165="","",IF(S165&gt;=Targets!$B$11,"YES","NO"))</f>
        <v/>
      </c>
      <c r="U165" s="5">
        <f>IF(B165="","",IF(AND(L165="timer",M165="processor record"),"MEASURED","PARTIAL"))</f>
        <v/>
      </c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5">
        <f>IF(B166="","",SUM(F166:I166))</f>
        <v/>
      </c>
      <c r="O166" s="5">
        <f>IF(B166="","",IFERROR(INDEX(Targets!$E$4:$E$8,MATCH(B166,Targets!$A$4:$A$8,0)),"SKU?"))</f>
        <v/>
      </c>
      <c r="P166" s="5">
        <f>IF(B166="","",IFERROR(N166*O166,""))</f>
        <v/>
      </c>
      <c r="Q166" s="5">
        <f>IF(B166="","",IFERROR(P166+E166+J166+K166,""))</f>
        <v/>
      </c>
      <c r="R166" s="5">
        <f>IF(B166="","",IFERROR(D166-Q166,""))</f>
        <v/>
      </c>
      <c r="S166" s="6">
        <f>IF(B166="","",IFERROR(IF(D166&gt;0,R166/D166,""),""))</f>
        <v/>
      </c>
      <c r="T166" s="5">
        <f>IF(S166="","",IF(S166&gt;=Targets!$B$11,"YES","NO"))</f>
        <v/>
      </c>
      <c r="U166" s="5">
        <f>IF(B166="","",IF(AND(L166="timer",M166="processor record"),"MEASURED","PARTIAL"))</f>
        <v/>
      </c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5">
        <f>IF(B167="","",SUM(F167:I167))</f>
        <v/>
      </c>
      <c r="O167" s="5">
        <f>IF(B167="","",IFERROR(INDEX(Targets!$E$4:$E$8,MATCH(B167,Targets!$A$4:$A$8,0)),"SKU?"))</f>
        <v/>
      </c>
      <c r="P167" s="5">
        <f>IF(B167="","",IFERROR(N167*O167,""))</f>
        <v/>
      </c>
      <c r="Q167" s="5">
        <f>IF(B167="","",IFERROR(P167+E167+J167+K167,""))</f>
        <v/>
      </c>
      <c r="R167" s="5">
        <f>IF(B167="","",IFERROR(D167-Q167,""))</f>
        <v/>
      </c>
      <c r="S167" s="6">
        <f>IF(B167="","",IFERROR(IF(D167&gt;0,R167/D167,""),""))</f>
        <v/>
      </c>
      <c r="T167" s="5">
        <f>IF(S167="","",IF(S167&gt;=Targets!$B$11,"YES","NO"))</f>
        <v/>
      </c>
      <c r="U167" s="5">
        <f>IF(B167="","",IF(AND(L167="timer",M167="processor record"),"MEASURED","PARTIAL"))</f>
        <v/>
      </c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5">
        <f>IF(B168="","",SUM(F168:I168))</f>
        <v/>
      </c>
      <c r="O168" s="5">
        <f>IF(B168="","",IFERROR(INDEX(Targets!$E$4:$E$8,MATCH(B168,Targets!$A$4:$A$8,0)),"SKU?"))</f>
        <v/>
      </c>
      <c r="P168" s="5">
        <f>IF(B168="","",IFERROR(N168*O168,""))</f>
        <v/>
      </c>
      <c r="Q168" s="5">
        <f>IF(B168="","",IFERROR(P168+E168+J168+K168,""))</f>
        <v/>
      </c>
      <c r="R168" s="5">
        <f>IF(B168="","",IFERROR(D168-Q168,""))</f>
        <v/>
      </c>
      <c r="S168" s="6">
        <f>IF(B168="","",IFERROR(IF(D168&gt;0,R168/D168,""),""))</f>
        <v/>
      </c>
      <c r="T168" s="5">
        <f>IF(S168="","",IF(S168&gt;=Targets!$B$11,"YES","NO"))</f>
        <v/>
      </c>
      <c r="U168" s="5">
        <f>IF(B168="","",IF(AND(L168="timer",M168="processor record"),"MEASURED","PARTIAL"))</f>
        <v/>
      </c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5">
        <f>IF(B169="","",SUM(F169:I169))</f>
        <v/>
      </c>
      <c r="O169" s="5">
        <f>IF(B169="","",IFERROR(INDEX(Targets!$E$4:$E$8,MATCH(B169,Targets!$A$4:$A$8,0)),"SKU?"))</f>
        <v/>
      </c>
      <c r="P169" s="5">
        <f>IF(B169="","",IFERROR(N169*O169,""))</f>
        <v/>
      </c>
      <c r="Q169" s="5">
        <f>IF(B169="","",IFERROR(P169+E169+J169+K169,""))</f>
        <v/>
      </c>
      <c r="R169" s="5">
        <f>IF(B169="","",IFERROR(D169-Q169,""))</f>
        <v/>
      </c>
      <c r="S169" s="6">
        <f>IF(B169="","",IFERROR(IF(D169&gt;0,R169/D169,""),""))</f>
        <v/>
      </c>
      <c r="T169" s="5">
        <f>IF(S169="","",IF(S169&gt;=Targets!$B$11,"YES","NO"))</f>
        <v/>
      </c>
      <c r="U169" s="5">
        <f>IF(B169="","",IF(AND(L169="timer",M169="processor record"),"MEASURED","PARTIAL"))</f>
        <v/>
      </c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5">
        <f>IF(B170="","",SUM(F170:I170))</f>
        <v/>
      </c>
      <c r="O170" s="5">
        <f>IF(B170="","",IFERROR(INDEX(Targets!$E$4:$E$8,MATCH(B170,Targets!$A$4:$A$8,0)),"SKU?"))</f>
        <v/>
      </c>
      <c r="P170" s="5">
        <f>IF(B170="","",IFERROR(N170*O170,""))</f>
        <v/>
      </c>
      <c r="Q170" s="5">
        <f>IF(B170="","",IFERROR(P170+E170+J170+K170,""))</f>
        <v/>
      </c>
      <c r="R170" s="5">
        <f>IF(B170="","",IFERROR(D170-Q170,""))</f>
        <v/>
      </c>
      <c r="S170" s="6">
        <f>IF(B170="","",IFERROR(IF(D170&gt;0,R170/D170,""),""))</f>
        <v/>
      </c>
      <c r="T170" s="5">
        <f>IF(S170="","",IF(S170&gt;=Targets!$B$11,"YES","NO"))</f>
        <v/>
      </c>
      <c r="U170" s="5">
        <f>IF(B170="","",IF(AND(L170="timer",M170="processor record"),"MEASURED","PARTIAL"))</f>
        <v/>
      </c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5">
        <f>IF(B171="","",SUM(F171:I171))</f>
        <v/>
      </c>
      <c r="O171" s="5">
        <f>IF(B171="","",IFERROR(INDEX(Targets!$E$4:$E$8,MATCH(B171,Targets!$A$4:$A$8,0)),"SKU?"))</f>
        <v/>
      </c>
      <c r="P171" s="5">
        <f>IF(B171="","",IFERROR(N171*O171,""))</f>
        <v/>
      </c>
      <c r="Q171" s="5">
        <f>IF(B171="","",IFERROR(P171+E171+J171+K171,""))</f>
        <v/>
      </c>
      <c r="R171" s="5">
        <f>IF(B171="","",IFERROR(D171-Q171,""))</f>
        <v/>
      </c>
      <c r="S171" s="6">
        <f>IF(B171="","",IFERROR(IF(D171&gt;0,R171/D171,""),""))</f>
        <v/>
      </c>
      <c r="T171" s="5">
        <f>IF(S171="","",IF(S171&gt;=Targets!$B$11,"YES","NO"))</f>
        <v/>
      </c>
      <c r="U171" s="5">
        <f>IF(B171="","",IF(AND(L171="timer",M171="processor record"),"MEASURED","PARTIAL"))</f>
        <v/>
      </c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5">
        <f>IF(B172="","",SUM(F172:I172))</f>
        <v/>
      </c>
      <c r="O172" s="5">
        <f>IF(B172="","",IFERROR(INDEX(Targets!$E$4:$E$8,MATCH(B172,Targets!$A$4:$A$8,0)),"SKU?"))</f>
        <v/>
      </c>
      <c r="P172" s="5">
        <f>IF(B172="","",IFERROR(N172*O172,""))</f>
        <v/>
      </c>
      <c r="Q172" s="5">
        <f>IF(B172="","",IFERROR(P172+E172+J172+K172,""))</f>
        <v/>
      </c>
      <c r="R172" s="5">
        <f>IF(B172="","",IFERROR(D172-Q172,""))</f>
        <v/>
      </c>
      <c r="S172" s="6">
        <f>IF(B172="","",IFERROR(IF(D172&gt;0,R172/D172,""),""))</f>
        <v/>
      </c>
      <c r="T172" s="5">
        <f>IF(S172="","",IF(S172&gt;=Targets!$B$11,"YES","NO"))</f>
        <v/>
      </c>
      <c r="U172" s="5">
        <f>IF(B172="","",IF(AND(L172="timer",M172="processor record"),"MEASURED","PARTIAL"))</f>
        <v/>
      </c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5">
        <f>IF(B173="","",SUM(F173:I173))</f>
        <v/>
      </c>
      <c r="O173" s="5">
        <f>IF(B173="","",IFERROR(INDEX(Targets!$E$4:$E$8,MATCH(B173,Targets!$A$4:$A$8,0)),"SKU?"))</f>
        <v/>
      </c>
      <c r="P173" s="5">
        <f>IF(B173="","",IFERROR(N173*O173,""))</f>
        <v/>
      </c>
      <c r="Q173" s="5">
        <f>IF(B173="","",IFERROR(P173+E173+J173+K173,""))</f>
        <v/>
      </c>
      <c r="R173" s="5">
        <f>IF(B173="","",IFERROR(D173-Q173,""))</f>
        <v/>
      </c>
      <c r="S173" s="6">
        <f>IF(B173="","",IFERROR(IF(D173&gt;0,R173/D173,""),""))</f>
        <v/>
      </c>
      <c r="T173" s="5">
        <f>IF(S173="","",IF(S173&gt;=Targets!$B$11,"YES","NO"))</f>
        <v/>
      </c>
      <c r="U173" s="5">
        <f>IF(B173="","",IF(AND(L173="timer",M173="processor record"),"MEASURED","PARTIAL"))</f>
        <v/>
      </c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5">
        <f>IF(B174="","",SUM(F174:I174))</f>
        <v/>
      </c>
      <c r="O174" s="5">
        <f>IF(B174="","",IFERROR(INDEX(Targets!$E$4:$E$8,MATCH(B174,Targets!$A$4:$A$8,0)),"SKU?"))</f>
        <v/>
      </c>
      <c r="P174" s="5">
        <f>IF(B174="","",IFERROR(N174*O174,""))</f>
        <v/>
      </c>
      <c r="Q174" s="5">
        <f>IF(B174="","",IFERROR(P174+E174+J174+K174,""))</f>
        <v/>
      </c>
      <c r="R174" s="5">
        <f>IF(B174="","",IFERROR(D174-Q174,""))</f>
        <v/>
      </c>
      <c r="S174" s="6">
        <f>IF(B174="","",IFERROR(IF(D174&gt;0,R174/D174,""),""))</f>
        <v/>
      </c>
      <c r="T174" s="5">
        <f>IF(S174="","",IF(S174&gt;=Targets!$B$11,"YES","NO"))</f>
        <v/>
      </c>
      <c r="U174" s="5">
        <f>IF(B174="","",IF(AND(L174="timer",M174="processor record"),"MEASURED","PARTIAL"))</f>
        <v/>
      </c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5">
        <f>IF(B175="","",SUM(F175:I175))</f>
        <v/>
      </c>
      <c r="O175" s="5">
        <f>IF(B175="","",IFERROR(INDEX(Targets!$E$4:$E$8,MATCH(B175,Targets!$A$4:$A$8,0)),"SKU?"))</f>
        <v/>
      </c>
      <c r="P175" s="5">
        <f>IF(B175="","",IFERROR(N175*O175,""))</f>
        <v/>
      </c>
      <c r="Q175" s="5">
        <f>IF(B175="","",IFERROR(P175+E175+J175+K175,""))</f>
        <v/>
      </c>
      <c r="R175" s="5">
        <f>IF(B175="","",IFERROR(D175-Q175,""))</f>
        <v/>
      </c>
      <c r="S175" s="6">
        <f>IF(B175="","",IFERROR(IF(D175&gt;0,R175/D175,""),""))</f>
        <v/>
      </c>
      <c r="T175" s="5">
        <f>IF(S175="","",IF(S175&gt;=Targets!$B$11,"YES","NO"))</f>
        <v/>
      </c>
      <c r="U175" s="5">
        <f>IF(B175="","",IF(AND(L175="timer",M175="processor record"),"MEASURED","PARTIAL"))</f>
        <v/>
      </c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5">
        <f>IF(B176="","",SUM(F176:I176))</f>
        <v/>
      </c>
      <c r="O176" s="5">
        <f>IF(B176="","",IFERROR(INDEX(Targets!$E$4:$E$8,MATCH(B176,Targets!$A$4:$A$8,0)),"SKU?"))</f>
        <v/>
      </c>
      <c r="P176" s="5">
        <f>IF(B176="","",IFERROR(N176*O176,""))</f>
        <v/>
      </c>
      <c r="Q176" s="5">
        <f>IF(B176="","",IFERROR(P176+E176+J176+K176,""))</f>
        <v/>
      </c>
      <c r="R176" s="5">
        <f>IF(B176="","",IFERROR(D176-Q176,""))</f>
        <v/>
      </c>
      <c r="S176" s="6">
        <f>IF(B176="","",IFERROR(IF(D176&gt;0,R176/D176,""),""))</f>
        <v/>
      </c>
      <c r="T176" s="5">
        <f>IF(S176="","",IF(S176&gt;=Targets!$B$11,"YES","NO"))</f>
        <v/>
      </c>
      <c r="U176" s="5">
        <f>IF(B176="","",IF(AND(L176="timer",M176="processor record"),"MEASURED","PARTIAL"))</f>
        <v/>
      </c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5">
        <f>IF(B177="","",SUM(F177:I177))</f>
        <v/>
      </c>
      <c r="O177" s="5">
        <f>IF(B177="","",IFERROR(INDEX(Targets!$E$4:$E$8,MATCH(B177,Targets!$A$4:$A$8,0)),"SKU?"))</f>
        <v/>
      </c>
      <c r="P177" s="5">
        <f>IF(B177="","",IFERROR(N177*O177,""))</f>
        <v/>
      </c>
      <c r="Q177" s="5">
        <f>IF(B177="","",IFERROR(P177+E177+J177+K177,""))</f>
        <v/>
      </c>
      <c r="R177" s="5">
        <f>IF(B177="","",IFERROR(D177-Q177,""))</f>
        <v/>
      </c>
      <c r="S177" s="6">
        <f>IF(B177="","",IFERROR(IF(D177&gt;0,R177/D177,""),""))</f>
        <v/>
      </c>
      <c r="T177" s="5">
        <f>IF(S177="","",IF(S177&gt;=Targets!$B$11,"YES","NO"))</f>
        <v/>
      </c>
      <c r="U177" s="5">
        <f>IF(B177="","",IF(AND(L177="timer",M177="processor record"),"MEASURED","PARTIAL"))</f>
        <v/>
      </c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5">
        <f>IF(B178="","",SUM(F178:I178))</f>
        <v/>
      </c>
      <c r="O178" s="5">
        <f>IF(B178="","",IFERROR(INDEX(Targets!$E$4:$E$8,MATCH(B178,Targets!$A$4:$A$8,0)),"SKU?"))</f>
        <v/>
      </c>
      <c r="P178" s="5">
        <f>IF(B178="","",IFERROR(N178*O178,""))</f>
        <v/>
      </c>
      <c r="Q178" s="5">
        <f>IF(B178="","",IFERROR(P178+E178+J178+K178,""))</f>
        <v/>
      </c>
      <c r="R178" s="5">
        <f>IF(B178="","",IFERROR(D178-Q178,""))</f>
        <v/>
      </c>
      <c r="S178" s="6">
        <f>IF(B178="","",IFERROR(IF(D178&gt;0,R178/D178,""),""))</f>
        <v/>
      </c>
      <c r="T178" s="5">
        <f>IF(S178="","",IF(S178&gt;=Targets!$B$11,"YES","NO"))</f>
        <v/>
      </c>
      <c r="U178" s="5">
        <f>IF(B178="","",IF(AND(L178="timer",M178="processor record"),"MEASURED","PARTIAL"))</f>
        <v/>
      </c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5">
        <f>IF(B179="","",SUM(F179:I179))</f>
        <v/>
      </c>
      <c r="O179" s="5">
        <f>IF(B179="","",IFERROR(INDEX(Targets!$E$4:$E$8,MATCH(B179,Targets!$A$4:$A$8,0)),"SKU?"))</f>
        <v/>
      </c>
      <c r="P179" s="5">
        <f>IF(B179="","",IFERROR(N179*O179,""))</f>
        <v/>
      </c>
      <c r="Q179" s="5">
        <f>IF(B179="","",IFERROR(P179+E179+J179+K179,""))</f>
        <v/>
      </c>
      <c r="R179" s="5">
        <f>IF(B179="","",IFERROR(D179-Q179,""))</f>
        <v/>
      </c>
      <c r="S179" s="6">
        <f>IF(B179="","",IFERROR(IF(D179&gt;0,R179/D179,""),""))</f>
        <v/>
      </c>
      <c r="T179" s="5">
        <f>IF(S179="","",IF(S179&gt;=Targets!$B$11,"YES","NO"))</f>
        <v/>
      </c>
      <c r="U179" s="5">
        <f>IF(B179="","",IF(AND(L179="timer",M179="processor record"),"MEASURED","PARTIAL"))</f>
        <v/>
      </c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5">
        <f>IF(B180="","",SUM(F180:I180))</f>
        <v/>
      </c>
      <c r="O180" s="5">
        <f>IF(B180="","",IFERROR(INDEX(Targets!$E$4:$E$8,MATCH(B180,Targets!$A$4:$A$8,0)),"SKU?"))</f>
        <v/>
      </c>
      <c r="P180" s="5">
        <f>IF(B180="","",IFERROR(N180*O180,""))</f>
        <v/>
      </c>
      <c r="Q180" s="5">
        <f>IF(B180="","",IFERROR(P180+E180+J180+K180,""))</f>
        <v/>
      </c>
      <c r="R180" s="5">
        <f>IF(B180="","",IFERROR(D180-Q180,""))</f>
        <v/>
      </c>
      <c r="S180" s="6">
        <f>IF(B180="","",IFERROR(IF(D180&gt;0,R180/D180,""),""))</f>
        <v/>
      </c>
      <c r="T180" s="5">
        <f>IF(S180="","",IF(S180&gt;=Targets!$B$11,"YES","NO"))</f>
        <v/>
      </c>
      <c r="U180" s="5">
        <f>IF(B180="","",IF(AND(L180="timer",M180="processor record"),"MEASURED","PARTIAL"))</f>
        <v/>
      </c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5">
        <f>IF(B181="","",SUM(F181:I181))</f>
        <v/>
      </c>
      <c r="O181" s="5">
        <f>IF(B181="","",IFERROR(INDEX(Targets!$E$4:$E$8,MATCH(B181,Targets!$A$4:$A$8,0)),"SKU?"))</f>
        <v/>
      </c>
      <c r="P181" s="5">
        <f>IF(B181="","",IFERROR(N181*O181,""))</f>
        <v/>
      </c>
      <c r="Q181" s="5">
        <f>IF(B181="","",IFERROR(P181+E181+J181+K181,""))</f>
        <v/>
      </c>
      <c r="R181" s="5">
        <f>IF(B181="","",IFERROR(D181-Q181,""))</f>
        <v/>
      </c>
      <c r="S181" s="6">
        <f>IF(B181="","",IFERROR(IF(D181&gt;0,R181/D181,""),""))</f>
        <v/>
      </c>
      <c r="T181" s="5">
        <f>IF(S181="","",IF(S181&gt;=Targets!$B$11,"YES","NO"))</f>
        <v/>
      </c>
      <c r="U181" s="5">
        <f>IF(B181="","",IF(AND(L181="timer",M181="processor record"),"MEASURED","PARTIAL"))</f>
        <v/>
      </c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5">
        <f>IF(B182="","",SUM(F182:I182))</f>
        <v/>
      </c>
      <c r="O182" s="5">
        <f>IF(B182="","",IFERROR(INDEX(Targets!$E$4:$E$8,MATCH(B182,Targets!$A$4:$A$8,0)),"SKU?"))</f>
        <v/>
      </c>
      <c r="P182" s="5">
        <f>IF(B182="","",IFERROR(N182*O182,""))</f>
        <v/>
      </c>
      <c r="Q182" s="5">
        <f>IF(B182="","",IFERROR(P182+E182+J182+K182,""))</f>
        <v/>
      </c>
      <c r="R182" s="5">
        <f>IF(B182="","",IFERROR(D182-Q182,""))</f>
        <v/>
      </c>
      <c r="S182" s="6">
        <f>IF(B182="","",IFERROR(IF(D182&gt;0,R182/D182,""),""))</f>
        <v/>
      </c>
      <c r="T182" s="5">
        <f>IF(S182="","",IF(S182&gt;=Targets!$B$11,"YES","NO"))</f>
        <v/>
      </c>
      <c r="U182" s="5">
        <f>IF(B182="","",IF(AND(L182="timer",M182="processor record"),"MEASURED","PARTIAL"))</f>
        <v/>
      </c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5">
        <f>IF(B183="","",SUM(F183:I183))</f>
        <v/>
      </c>
      <c r="O183" s="5">
        <f>IF(B183="","",IFERROR(INDEX(Targets!$E$4:$E$8,MATCH(B183,Targets!$A$4:$A$8,0)),"SKU?"))</f>
        <v/>
      </c>
      <c r="P183" s="5">
        <f>IF(B183="","",IFERROR(N183*O183,""))</f>
        <v/>
      </c>
      <c r="Q183" s="5">
        <f>IF(B183="","",IFERROR(P183+E183+J183+K183,""))</f>
        <v/>
      </c>
      <c r="R183" s="5">
        <f>IF(B183="","",IFERROR(D183-Q183,""))</f>
        <v/>
      </c>
      <c r="S183" s="6">
        <f>IF(B183="","",IFERROR(IF(D183&gt;0,R183/D183,""),""))</f>
        <v/>
      </c>
      <c r="T183" s="5">
        <f>IF(S183="","",IF(S183&gt;=Targets!$B$11,"YES","NO"))</f>
        <v/>
      </c>
      <c r="U183" s="5">
        <f>IF(B183="","",IF(AND(L183="timer",M183="processor record"),"MEASURED","PARTIAL"))</f>
        <v/>
      </c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5">
        <f>IF(B184="","",SUM(F184:I184))</f>
        <v/>
      </c>
      <c r="O184" s="5">
        <f>IF(B184="","",IFERROR(INDEX(Targets!$E$4:$E$8,MATCH(B184,Targets!$A$4:$A$8,0)),"SKU?"))</f>
        <v/>
      </c>
      <c r="P184" s="5">
        <f>IF(B184="","",IFERROR(N184*O184,""))</f>
        <v/>
      </c>
      <c r="Q184" s="5">
        <f>IF(B184="","",IFERROR(P184+E184+J184+K184,""))</f>
        <v/>
      </c>
      <c r="R184" s="5">
        <f>IF(B184="","",IFERROR(D184-Q184,""))</f>
        <v/>
      </c>
      <c r="S184" s="6">
        <f>IF(B184="","",IFERROR(IF(D184&gt;0,R184/D184,""),""))</f>
        <v/>
      </c>
      <c r="T184" s="5">
        <f>IF(S184="","",IF(S184&gt;=Targets!$B$11,"YES","NO"))</f>
        <v/>
      </c>
      <c r="U184" s="5">
        <f>IF(B184="","",IF(AND(L184="timer",M184="processor record"),"MEASURED","PARTIAL"))</f>
        <v/>
      </c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5">
        <f>IF(B185="","",SUM(F185:I185))</f>
        <v/>
      </c>
      <c r="O185" s="5">
        <f>IF(B185="","",IFERROR(INDEX(Targets!$E$4:$E$8,MATCH(B185,Targets!$A$4:$A$8,0)),"SKU?"))</f>
        <v/>
      </c>
      <c r="P185" s="5">
        <f>IF(B185="","",IFERROR(N185*O185,""))</f>
        <v/>
      </c>
      <c r="Q185" s="5">
        <f>IF(B185="","",IFERROR(P185+E185+J185+K185,""))</f>
        <v/>
      </c>
      <c r="R185" s="5">
        <f>IF(B185="","",IFERROR(D185-Q185,""))</f>
        <v/>
      </c>
      <c r="S185" s="6">
        <f>IF(B185="","",IFERROR(IF(D185&gt;0,R185/D185,""),""))</f>
        <v/>
      </c>
      <c r="T185" s="5">
        <f>IF(S185="","",IF(S185&gt;=Targets!$B$11,"YES","NO"))</f>
        <v/>
      </c>
      <c r="U185" s="5">
        <f>IF(B185="","",IF(AND(L185="timer",M185="processor record"),"MEASURED","PARTIAL"))</f>
        <v/>
      </c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5">
        <f>IF(B186="","",SUM(F186:I186))</f>
        <v/>
      </c>
      <c r="O186" s="5">
        <f>IF(B186="","",IFERROR(INDEX(Targets!$E$4:$E$8,MATCH(B186,Targets!$A$4:$A$8,0)),"SKU?"))</f>
        <v/>
      </c>
      <c r="P186" s="5">
        <f>IF(B186="","",IFERROR(N186*O186,""))</f>
        <v/>
      </c>
      <c r="Q186" s="5">
        <f>IF(B186="","",IFERROR(P186+E186+J186+K186,""))</f>
        <v/>
      </c>
      <c r="R186" s="5">
        <f>IF(B186="","",IFERROR(D186-Q186,""))</f>
        <v/>
      </c>
      <c r="S186" s="6">
        <f>IF(B186="","",IFERROR(IF(D186&gt;0,R186/D186,""),""))</f>
        <v/>
      </c>
      <c r="T186" s="5">
        <f>IF(S186="","",IF(S186&gt;=Targets!$B$11,"YES","NO"))</f>
        <v/>
      </c>
      <c r="U186" s="5">
        <f>IF(B186="","",IF(AND(L186="timer",M186="processor record"),"MEASURED","PARTIAL"))</f>
        <v/>
      </c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5">
        <f>IF(B187="","",SUM(F187:I187))</f>
        <v/>
      </c>
      <c r="O187" s="5">
        <f>IF(B187="","",IFERROR(INDEX(Targets!$E$4:$E$8,MATCH(B187,Targets!$A$4:$A$8,0)),"SKU?"))</f>
        <v/>
      </c>
      <c r="P187" s="5">
        <f>IF(B187="","",IFERROR(N187*O187,""))</f>
        <v/>
      </c>
      <c r="Q187" s="5">
        <f>IF(B187="","",IFERROR(P187+E187+J187+K187,""))</f>
        <v/>
      </c>
      <c r="R187" s="5">
        <f>IF(B187="","",IFERROR(D187-Q187,""))</f>
        <v/>
      </c>
      <c r="S187" s="6">
        <f>IF(B187="","",IFERROR(IF(D187&gt;0,R187/D187,""),""))</f>
        <v/>
      </c>
      <c r="T187" s="5">
        <f>IF(S187="","",IF(S187&gt;=Targets!$B$11,"YES","NO"))</f>
        <v/>
      </c>
      <c r="U187" s="5">
        <f>IF(B187="","",IF(AND(L187="timer",M187="processor record"),"MEASURED","PARTIAL"))</f>
        <v/>
      </c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5">
        <f>IF(B188="","",SUM(F188:I188))</f>
        <v/>
      </c>
      <c r="O188" s="5">
        <f>IF(B188="","",IFERROR(INDEX(Targets!$E$4:$E$8,MATCH(B188,Targets!$A$4:$A$8,0)),"SKU?"))</f>
        <v/>
      </c>
      <c r="P188" s="5">
        <f>IF(B188="","",IFERROR(N188*O188,""))</f>
        <v/>
      </c>
      <c r="Q188" s="5">
        <f>IF(B188="","",IFERROR(P188+E188+J188+K188,""))</f>
        <v/>
      </c>
      <c r="R188" s="5">
        <f>IF(B188="","",IFERROR(D188-Q188,""))</f>
        <v/>
      </c>
      <c r="S188" s="6">
        <f>IF(B188="","",IFERROR(IF(D188&gt;0,R188/D188,""),""))</f>
        <v/>
      </c>
      <c r="T188" s="5">
        <f>IF(S188="","",IF(S188&gt;=Targets!$B$11,"YES","NO"))</f>
        <v/>
      </c>
      <c r="U188" s="5">
        <f>IF(B188="","",IF(AND(L188="timer",M188="processor record"),"MEASURED","PARTIAL"))</f>
        <v/>
      </c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5">
        <f>IF(B189="","",SUM(F189:I189))</f>
        <v/>
      </c>
      <c r="O189" s="5">
        <f>IF(B189="","",IFERROR(INDEX(Targets!$E$4:$E$8,MATCH(B189,Targets!$A$4:$A$8,0)),"SKU?"))</f>
        <v/>
      </c>
      <c r="P189" s="5">
        <f>IF(B189="","",IFERROR(N189*O189,""))</f>
        <v/>
      </c>
      <c r="Q189" s="5">
        <f>IF(B189="","",IFERROR(P189+E189+J189+K189,""))</f>
        <v/>
      </c>
      <c r="R189" s="5">
        <f>IF(B189="","",IFERROR(D189-Q189,""))</f>
        <v/>
      </c>
      <c r="S189" s="6">
        <f>IF(B189="","",IFERROR(IF(D189&gt;0,R189/D189,""),""))</f>
        <v/>
      </c>
      <c r="T189" s="5">
        <f>IF(S189="","",IF(S189&gt;=Targets!$B$11,"YES","NO"))</f>
        <v/>
      </c>
      <c r="U189" s="5">
        <f>IF(B189="","",IF(AND(L189="timer",M189="processor record"),"MEASURED","PARTIAL"))</f>
        <v/>
      </c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5">
        <f>IF(B190="","",SUM(F190:I190))</f>
        <v/>
      </c>
      <c r="O190" s="5">
        <f>IF(B190="","",IFERROR(INDEX(Targets!$E$4:$E$8,MATCH(B190,Targets!$A$4:$A$8,0)),"SKU?"))</f>
        <v/>
      </c>
      <c r="P190" s="5">
        <f>IF(B190="","",IFERROR(N190*O190,""))</f>
        <v/>
      </c>
      <c r="Q190" s="5">
        <f>IF(B190="","",IFERROR(P190+E190+J190+K190,""))</f>
        <v/>
      </c>
      <c r="R190" s="5">
        <f>IF(B190="","",IFERROR(D190-Q190,""))</f>
        <v/>
      </c>
      <c r="S190" s="6">
        <f>IF(B190="","",IFERROR(IF(D190&gt;0,R190/D190,""),""))</f>
        <v/>
      </c>
      <c r="T190" s="5">
        <f>IF(S190="","",IF(S190&gt;=Targets!$B$11,"YES","NO"))</f>
        <v/>
      </c>
      <c r="U190" s="5">
        <f>IF(B190="","",IF(AND(L190="timer",M190="processor record"),"MEASURED","PARTIAL"))</f>
        <v/>
      </c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5">
        <f>IF(B191="","",SUM(F191:I191))</f>
        <v/>
      </c>
      <c r="O191" s="5">
        <f>IF(B191="","",IFERROR(INDEX(Targets!$E$4:$E$8,MATCH(B191,Targets!$A$4:$A$8,0)),"SKU?"))</f>
        <v/>
      </c>
      <c r="P191" s="5">
        <f>IF(B191="","",IFERROR(N191*O191,""))</f>
        <v/>
      </c>
      <c r="Q191" s="5">
        <f>IF(B191="","",IFERROR(P191+E191+J191+K191,""))</f>
        <v/>
      </c>
      <c r="R191" s="5">
        <f>IF(B191="","",IFERROR(D191-Q191,""))</f>
        <v/>
      </c>
      <c r="S191" s="6">
        <f>IF(B191="","",IFERROR(IF(D191&gt;0,R191/D191,""),""))</f>
        <v/>
      </c>
      <c r="T191" s="5">
        <f>IF(S191="","",IF(S191&gt;=Targets!$B$11,"YES","NO"))</f>
        <v/>
      </c>
      <c r="U191" s="5">
        <f>IF(B191="","",IF(AND(L191="timer",M191="processor record"),"MEASURED","PARTIAL"))</f>
        <v/>
      </c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5">
        <f>IF(B192="","",SUM(F192:I192))</f>
        <v/>
      </c>
      <c r="O192" s="5">
        <f>IF(B192="","",IFERROR(INDEX(Targets!$E$4:$E$8,MATCH(B192,Targets!$A$4:$A$8,0)),"SKU?"))</f>
        <v/>
      </c>
      <c r="P192" s="5">
        <f>IF(B192="","",IFERROR(N192*O192,""))</f>
        <v/>
      </c>
      <c r="Q192" s="5">
        <f>IF(B192="","",IFERROR(P192+E192+J192+K192,""))</f>
        <v/>
      </c>
      <c r="R192" s="5">
        <f>IF(B192="","",IFERROR(D192-Q192,""))</f>
        <v/>
      </c>
      <c r="S192" s="6">
        <f>IF(B192="","",IFERROR(IF(D192&gt;0,R192/D192,""),""))</f>
        <v/>
      </c>
      <c r="T192" s="5">
        <f>IF(S192="","",IF(S192&gt;=Targets!$B$11,"YES","NO"))</f>
        <v/>
      </c>
      <c r="U192" s="5">
        <f>IF(B192="","",IF(AND(L192="timer",M192="processor record"),"MEASURED","PARTIAL"))</f>
        <v/>
      </c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5">
        <f>IF(B193="","",SUM(F193:I193))</f>
        <v/>
      </c>
      <c r="O193" s="5">
        <f>IF(B193="","",IFERROR(INDEX(Targets!$E$4:$E$8,MATCH(B193,Targets!$A$4:$A$8,0)),"SKU?"))</f>
        <v/>
      </c>
      <c r="P193" s="5">
        <f>IF(B193="","",IFERROR(N193*O193,""))</f>
        <v/>
      </c>
      <c r="Q193" s="5">
        <f>IF(B193="","",IFERROR(P193+E193+J193+K193,""))</f>
        <v/>
      </c>
      <c r="R193" s="5">
        <f>IF(B193="","",IFERROR(D193-Q193,""))</f>
        <v/>
      </c>
      <c r="S193" s="6">
        <f>IF(B193="","",IFERROR(IF(D193&gt;0,R193/D193,""),""))</f>
        <v/>
      </c>
      <c r="T193" s="5">
        <f>IF(S193="","",IF(S193&gt;=Targets!$B$11,"YES","NO"))</f>
        <v/>
      </c>
      <c r="U193" s="5">
        <f>IF(B193="","",IF(AND(L193="timer",M193="processor record"),"MEASURED","PARTIAL"))</f>
        <v/>
      </c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5">
        <f>IF(B194="","",SUM(F194:I194))</f>
        <v/>
      </c>
      <c r="O194" s="5">
        <f>IF(B194="","",IFERROR(INDEX(Targets!$E$4:$E$8,MATCH(B194,Targets!$A$4:$A$8,0)),"SKU?"))</f>
        <v/>
      </c>
      <c r="P194" s="5">
        <f>IF(B194="","",IFERROR(N194*O194,""))</f>
        <v/>
      </c>
      <c r="Q194" s="5">
        <f>IF(B194="","",IFERROR(P194+E194+J194+K194,""))</f>
        <v/>
      </c>
      <c r="R194" s="5">
        <f>IF(B194="","",IFERROR(D194-Q194,""))</f>
        <v/>
      </c>
      <c r="S194" s="6">
        <f>IF(B194="","",IFERROR(IF(D194&gt;0,R194/D194,""),""))</f>
        <v/>
      </c>
      <c r="T194" s="5">
        <f>IF(S194="","",IF(S194&gt;=Targets!$B$11,"YES","NO"))</f>
        <v/>
      </c>
      <c r="U194" s="5">
        <f>IF(B194="","",IF(AND(L194="timer",M194="processor record"),"MEASURED","PARTIAL"))</f>
        <v/>
      </c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5">
        <f>IF(B195="","",SUM(F195:I195))</f>
        <v/>
      </c>
      <c r="O195" s="5">
        <f>IF(B195="","",IFERROR(INDEX(Targets!$E$4:$E$8,MATCH(B195,Targets!$A$4:$A$8,0)),"SKU?"))</f>
        <v/>
      </c>
      <c r="P195" s="5">
        <f>IF(B195="","",IFERROR(N195*O195,""))</f>
        <v/>
      </c>
      <c r="Q195" s="5">
        <f>IF(B195="","",IFERROR(P195+E195+J195+K195,""))</f>
        <v/>
      </c>
      <c r="R195" s="5">
        <f>IF(B195="","",IFERROR(D195-Q195,""))</f>
        <v/>
      </c>
      <c r="S195" s="6">
        <f>IF(B195="","",IFERROR(IF(D195&gt;0,R195/D195,""),""))</f>
        <v/>
      </c>
      <c r="T195" s="5">
        <f>IF(S195="","",IF(S195&gt;=Targets!$B$11,"YES","NO"))</f>
        <v/>
      </c>
      <c r="U195" s="5">
        <f>IF(B195="","",IF(AND(L195="timer",M195="processor record"),"MEASURED","PARTIAL"))</f>
        <v/>
      </c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5">
        <f>IF(B196="","",SUM(F196:I196))</f>
        <v/>
      </c>
      <c r="O196" s="5">
        <f>IF(B196="","",IFERROR(INDEX(Targets!$E$4:$E$8,MATCH(B196,Targets!$A$4:$A$8,0)),"SKU?"))</f>
        <v/>
      </c>
      <c r="P196" s="5">
        <f>IF(B196="","",IFERROR(N196*O196,""))</f>
        <v/>
      </c>
      <c r="Q196" s="5">
        <f>IF(B196="","",IFERROR(P196+E196+J196+K196,""))</f>
        <v/>
      </c>
      <c r="R196" s="5">
        <f>IF(B196="","",IFERROR(D196-Q196,""))</f>
        <v/>
      </c>
      <c r="S196" s="6">
        <f>IF(B196="","",IFERROR(IF(D196&gt;0,R196/D196,""),""))</f>
        <v/>
      </c>
      <c r="T196" s="5">
        <f>IF(S196="","",IF(S196&gt;=Targets!$B$11,"YES","NO"))</f>
        <v/>
      </c>
      <c r="U196" s="5">
        <f>IF(B196="","",IF(AND(L196="timer",M196="processor record"),"MEASURED","PARTIAL"))</f>
        <v/>
      </c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5">
        <f>IF(B197="","",SUM(F197:I197))</f>
        <v/>
      </c>
      <c r="O197" s="5">
        <f>IF(B197="","",IFERROR(INDEX(Targets!$E$4:$E$8,MATCH(B197,Targets!$A$4:$A$8,0)),"SKU?"))</f>
        <v/>
      </c>
      <c r="P197" s="5">
        <f>IF(B197="","",IFERROR(N197*O197,""))</f>
        <v/>
      </c>
      <c r="Q197" s="5">
        <f>IF(B197="","",IFERROR(P197+E197+J197+K197,""))</f>
        <v/>
      </c>
      <c r="R197" s="5">
        <f>IF(B197="","",IFERROR(D197-Q197,""))</f>
        <v/>
      </c>
      <c r="S197" s="6">
        <f>IF(B197="","",IFERROR(IF(D197&gt;0,R197/D197,""),""))</f>
        <v/>
      </c>
      <c r="T197" s="5">
        <f>IF(S197="","",IF(S197&gt;=Targets!$B$11,"YES","NO"))</f>
        <v/>
      </c>
      <c r="U197" s="5">
        <f>IF(B197="","",IF(AND(L197="timer",M197="processor record"),"MEASURED","PARTIAL"))</f>
        <v/>
      </c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5">
        <f>IF(B198="","",SUM(F198:I198))</f>
        <v/>
      </c>
      <c r="O198" s="5">
        <f>IF(B198="","",IFERROR(INDEX(Targets!$E$4:$E$8,MATCH(B198,Targets!$A$4:$A$8,0)),"SKU?"))</f>
        <v/>
      </c>
      <c r="P198" s="5">
        <f>IF(B198="","",IFERROR(N198*O198,""))</f>
        <v/>
      </c>
      <c r="Q198" s="5">
        <f>IF(B198="","",IFERROR(P198+E198+J198+K198,""))</f>
        <v/>
      </c>
      <c r="R198" s="5">
        <f>IF(B198="","",IFERROR(D198-Q198,""))</f>
        <v/>
      </c>
      <c r="S198" s="6">
        <f>IF(B198="","",IFERROR(IF(D198&gt;0,R198/D198,""),""))</f>
        <v/>
      </c>
      <c r="T198" s="5">
        <f>IF(S198="","",IF(S198&gt;=Targets!$B$11,"YES","NO"))</f>
        <v/>
      </c>
      <c r="U198" s="5">
        <f>IF(B198="","",IF(AND(L198="timer",M198="processor record"),"MEASURED","PARTIAL"))</f>
        <v/>
      </c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5">
        <f>IF(B199="","",SUM(F199:I199))</f>
        <v/>
      </c>
      <c r="O199" s="5">
        <f>IF(B199="","",IFERROR(INDEX(Targets!$E$4:$E$8,MATCH(B199,Targets!$A$4:$A$8,0)),"SKU?"))</f>
        <v/>
      </c>
      <c r="P199" s="5">
        <f>IF(B199="","",IFERROR(N199*O199,""))</f>
        <v/>
      </c>
      <c r="Q199" s="5">
        <f>IF(B199="","",IFERROR(P199+E199+J199+K199,""))</f>
        <v/>
      </c>
      <c r="R199" s="5">
        <f>IF(B199="","",IFERROR(D199-Q199,""))</f>
        <v/>
      </c>
      <c r="S199" s="6">
        <f>IF(B199="","",IFERROR(IF(D199&gt;0,R199/D199,""),""))</f>
        <v/>
      </c>
      <c r="T199" s="5">
        <f>IF(S199="","",IF(S199&gt;=Targets!$B$11,"YES","NO"))</f>
        <v/>
      </c>
      <c r="U199" s="5">
        <f>IF(B199="","",IF(AND(L199="timer",M199="processor record"),"MEASURED","PARTIAL"))</f>
        <v/>
      </c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5">
        <f>IF(B200="","",SUM(F200:I200))</f>
        <v/>
      </c>
      <c r="O200" s="5">
        <f>IF(B200="","",IFERROR(INDEX(Targets!$E$4:$E$8,MATCH(B200,Targets!$A$4:$A$8,0)),"SKU?"))</f>
        <v/>
      </c>
      <c r="P200" s="5">
        <f>IF(B200="","",IFERROR(N200*O200,""))</f>
        <v/>
      </c>
      <c r="Q200" s="5">
        <f>IF(B200="","",IFERROR(P200+E200+J200+K200,""))</f>
        <v/>
      </c>
      <c r="R200" s="5">
        <f>IF(B200="","",IFERROR(D200-Q200,""))</f>
        <v/>
      </c>
      <c r="S200" s="6">
        <f>IF(B200="","",IFERROR(IF(D200&gt;0,R200/D200,""),""))</f>
        <v/>
      </c>
      <c r="T200" s="5">
        <f>IF(S200="","",IF(S200&gt;=Targets!$B$11,"YES","NO"))</f>
        <v/>
      </c>
      <c r="U200" s="5">
        <f>IF(B200="","",IF(AND(L200="timer",M200="processor record"),"MEASURED","PARTIAL"))</f>
        <v/>
      </c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5">
        <f>IF(B201="","",SUM(F201:I201))</f>
        <v/>
      </c>
      <c r="O201" s="5">
        <f>IF(B201="","",IFERROR(INDEX(Targets!$E$4:$E$8,MATCH(B201,Targets!$A$4:$A$8,0)),"SKU?"))</f>
        <v/>
      </c>
      <c r="P201" s="5">
        <f>IF(B201="","",IFERROR(N201*O201,""))</f>
        <v/>
      </c>
      <c r="Q201" s="5">
        <f>IF(B201="","",IFERROR(P201+E201+J201+K201,""))</f>
        <v/>
      </c>
      <c r="R201" s="5">
        <f>IF(B201="","",IFERROR(D201-Q201,""))</f>
        <v/>
      </c>
      <c r="S201" s="6">
        <f>IF(B201="","",IFERROR(IF(D201&gt;0,R201/D201,""),""))</f>
        <v/>
      </c>
      <c r="T201" s="5">
        <f>IF(S201="","",IF(S201&gt;=Targets!$B$11,"YES","NO"))</f>
        <v/>
      </c>
      <c r="U201" s="5">
        <f>IF(B201="","",IF(AND(L201="timer",M201="processor record"),"MEASURED","PARTIAL"))</f>
        <v/>
      </c>
    </row>
  </sheetData>
  <conditionalFormatting sqref="T2:T201">
    <cfRule type="cellIs" priority="1" operator="equal" dxfId="0">
      <formula>"NO"</formula>
    </cfRule>
  </conditionalFormatting>
  <dataValidations count="3">
    <dataValidation sqref="L2:L201" showDropDown="0" showInputMessage="0" showErrorMessage="0" allowBlank="1" type="list">
      <formula1>"timer,calendar,estimate"</formula1>
    </dataValidation>
    <dataValidation sqref="M2:M201" showDropDown="0" showInputMessage="0" showErrorMessage="0" allowBlank="1" type="list">
      <formula1>"processor record,estimate"</formula1>
    </dataValidation>
    <dataValidation sqref="B2:B201" showDropDown="0" showInputMessage="0" showErrorMessage="0" allowBlank="1" type="list">
      <formula1>=Targets!$A$4:$A$8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52" customWidth="1" min="8" max="8"/>
  </cols>
  <sheetData>
    <row r="1">
      <c r="A1" s="3" t="inlineStr">
        <is>
          <t>Per-service result (only MEASURED jobs count toward verification)</t>
        </is>
      </c>
    </row>
    <row r="3">
      <c r="A3" s="4" t="inlineStr">
        <is>
          <t>SKU</t>
        </is>
      </c>
      <c r="B3" s="4" t="inlineStr">
        <is>
          <t>Service</t>
        </is>
      </c>
      <c r="C3" s="4" t="inlineStr">
        <is>
          <t>Measured jobs</t>
        </is>
      </c>
      <c r="D3" s="4" t="inlineStr">
        <is>
          <t>Average actual hours</t>
        </is>
      </c>
      <c r="E3" s="4" t="inlineStr">
        <is>
          <t>Average margin (measured)</t>
        </is>
      </c>
      <c r="F3" s="4" t="inlineStr">
        <is>
          <t>Worst margin</t>
        </is>
      </c>
      <c r="G3" s="4" t="inlineStr">
        <is>
          <t>Draft hours</t>
        </is>
      </c>
      <c r="H3" s="4" t="inlineStr">
        <is>
          <t>Verdict</t>
        </is>
      </c>
    </row>
    <row r="4">
      <c r="A4" s="5">
        <f>Targets!A4</f>
        <v/>
      </c>
      <c r="B4" s="5">
        <f>Targets!B4</f>
        <v/>
      </c>
      <c r="C4" s="5">
        <f>COUNTIFS('Job log'!$B$2:$B$201,A4,'Job log'!$U$2:$U$201,"MEASURED")</f>
        <v/>
      </c>
      <c r="D4" s="11">
        <f>IF(C4=0,"",AVERAGEIFS('Job log'!$N$2:$N$201,'Job log'!$B$2:$B$201,A4,'Job log'!$U$2:$U$201,"MEASURED"))</f>
        <v/>
      </c>
      <c r="E4" s="6">
        <f>IF(C4=0,"",AVERAGEIFS('Job log'!$S$2:$S$201,'Job log'!$B$2:$B$201,A4,'Job log'!$U$2:$U$201,"MEASURED"))</f>
        <v/>
      </c>
      <c r="F4" s="6">
        <f>IF(C4=0,"",_xlfn.MINIFS('Job log'!$S$2:$S$201,'Job log'!$B$2:$B$201,A4,'Job log'!$U$2:$U$201,"MEASURED"))</f>
        <v/>
      </c>
      <c r="G4" s="5">
        <f>Targets!F4</f>
        <v/>
      </c>
      <c r="H4" s="5">
        <f>IF(C4&lt;3,"NEEDS MORE MEASURED JOBS (3 minimum, proposed)",IF(AND(E4&gt;=Targets!$B$11,F4&gt;=Targets!$B$11-0.1),"CANDIDATE FOR OWNER VERIFICATION","BELOW FLOOR: PRICE, SCOPE OR FULFILLMENT REVIEW"))</f>
        <v/>
      </c>
    </row>
    <row r="5">
      <c r="A5" s="5">
        <f>Targets!A5</f>
        <v/>
      </c>
      <c r="B5" s="5">
        <f>Targets!B5</f>
        <v/>
      </c>
      <c r="C5" s="5">
        <f>COUNTIFS('Job log'!$B$2:$B$201,A5,'Job log'!$U$2:$U$201,"MEASURED")</f>
        <v/>
      </c>
      <c r="D5" s="11">
        <f>IF(C5=0,"",AVERAGEIFS('Job log'!$N$2:$N$201,'Job log'!$B$2:$B$201,A5,'Job log'!$U$2:$U$201,"MEASURED"))</f>
        <v/>
      </c>
      <c r="E5" s="6">
        <f>IF(C5=0,"",AVERAGEIFS('Job log'!$S$2:$S$201,'Job log'!$B$2:$B$201,A5,'Job log'!$U$2:$U$201,"MEASURED"))</f>
        <v/>
      </c>
      <c r="F5" s="6">
        <f>IF(C5=0,"",_xlfn.MINIFS('Job log'!$S$2:$S$201,'Job log'!$B$2:$B$201,A5,'Job log'!$U$2:$U$201,"MEASURED"))</f>
        <v/>
      </c>
      <c r="G5" s="5">
        <f>Targets!F5</f>
        <v/>
      </c>
      <c r="H5" s="5">
        <f>IF(C5&lt;3,"NEEDS MORE MEASURED JOBS (3 minimum, proposed)",IF(AND(E5&gt;=Targets!$B$11,F5&gt;=Targets!$B$11-0.1),"CANDIDATE FOR OWNER VERIFICATION","BELOW FLOOR: PRICE, SCOPE OR FULFILLMENT REVIEW"))</f>
        <v/>
      </c>
    </row>
    <row r="6">
      <c r="A6" s="5">
        <f>Targets!A6</f>
        <v/>
      </c>
      <c r="B6" s="5">
        <f>Targets!B6</f>
        <v/>
      </c>
      <c r="C6" s="5">
        <f>COUNTIFS('Job log'!$B$2:$B$201,A6,'Job log'!$U$2:$U$201,"MEASURED")</f>
        <v/>
      </c>
      <c r="D6" s="11">
        <f>IF(C6=0,"",AVERAGEIFS('Job log'!$N$2:$N$201,'Job log'!$B$2:$B$201,A6,'Job log'!$U$2:$U$201,"MEASURED"))</f>
        <v/>
      </c>
      <c r="E6" s="6">
        <f>IF(C6=0,"",AVERAGEIFS('Job log'!$S$2:$S$201,'Job log'!$B$2:$B$201,A6,'Job log'!$U$2:$U$201,"MEASURED"))</f>
        <v/>
      </c>
      <c r="F6" s="6">
        <f>IF(C6=0,"",_xlfn.MINIFS('Job log'!$S$2:$S$201,'Job log'!$B$2:$B$201,A6,'Job log'!$U$2:$U$201,"MEASURED"))</f>
        <v/>
      </c>
      <c r="G6" s="5">
        <f>Targets!F6</f>
        <v/>
      </c>
      <c r="H6" s="5">
        <f>IF(C6&lt;3,"NEEDS MORE MEASURED JOBS (3 minimum, proposed)",IF(AND(E6&gt;=Targets!$B$11,F6&gt;=Targets!$B$11-0.1),"CANDIDATE FOR OWNER VERIFICATION","BELOW FLOOR: PRICE, SCOPE OR FULFILLMENT REVIEW"))</f>
        <v/>
      </c>
    </row>
    <row r="7">
      <c r="A7" s="5">
        <f>Targets!A7</f>
        <v/>
      </c>
      <c r="B7" s="5">
        <f>Targets!B7</f>
        <v/>
      </c>
      <c r="C7" s="5">
        <f>COUNTIFS('Job log'!$B$2:$B$201,A7,'Job log'!$U$2:$U$201,"MEASURED")</f>
        <v/>
      </c>
      <c r="D7" s="11">
        <f>IF(C7=0,"",AVERAGEIFS('Job log'!$N$2:$N$201,'Job log'!$B$2:$B$201,A7,'Job log'!$U$2:$U$201,"MEASURED"))</f>
        <v/>
      </c>
      <c r="E7" s="6">
        <f>IF(C7=0,"",AVERAGEIFS('Job log'!$S$2:$S$201,'Job log'!$B$2:$B$201,A7,'Job log'!$U$2:$U$201,"MEASURED"))</f>
        <v/>
      </c>
      <c r="F7" s="6">
        <f>IF(C7=0,"",_xlfn.MINIFS('Job log'!$S$2:$S$201,'Job log'!$B$2:$B$201,A7,'Job log'!$U$2:$U$201,"MEASURED"))</f>
        <v/>
      </c>
      <c r="G7" s="5">
        <f>Targets!F7</f>
        <v/>
      </c>
      <c r="H7" s="5">
        <f>IF(C7&lt;3,"NEEDS MORE MEASURED JOBS (3 minimum, proposed)",IF(AND(E7&gt;=Targets!$B$11,F7&gt;=Targets!$B$11-0.1),"CANDIDATE FOR OWNER VERIFICATION","BELOW FLOOR: PRICE, SCOPE OR FULFILLMENT REVIEW"))</f>
        <v/>
      </c>
    </row>
    <row r="8">
      <c r="A8" s="5">
        <f>Targets!A8</f>
        <v/>
      </c>
      <c r="B8" s="5">
        <f>Targets!B8</f>
        <v/>
      </c>
      <c r="C8" s="5">
        <f>COUNTIFS('Job log'!$B$2:$B$201,A8,'Job log'!$U$2:$U$201,"MEASURED")</f>
        <v/>
      </c>
      <c r="D8" s="11">
        <f>IF(C8=0,"",AVERAGEIFS('Job log'!$N$2:$N$201,'Job log'!$B$2:$B$201,A8,'Job log'!$U$2:$U$201,"MEASURED"))</f>
        <v/>
      </c>
      <c r="E8" s="6">
        <f>IF(C8=0,"",AVERAGEIFS('Job log'!$S$2:$S$201,'Job log'!$B$2:$B$201,A8,'Job log'!$U$2:$U$201,"MEASURED"))</f>
        <v/>
      </c>
      <c r="F8" s="6">
        <f>IF(C8=0,"",_xlfn.MINIFS('Job log'!$S$2:$S$201,'Job log'!$B$2:$B$201,A8,'Job log'!$U$2:$U$201,"MEASURED"))</f>
        <v/>
      </c>
      <c r="G8" s="5">
        <f>Targets!F8</f>
        <v/>
      </c>
      <c r="H8" s="5">
        <f>IF(C8&lt;3,"NEEDS MORE MEASURED JOBS (3 minimum, proposed)",IF(AND(E8&gt;=Targets!$B$11,F8&gt;=Targets!$B$11-0.1),"CANDIDATE FOR OWNER VERIFICATION","BELOW FLOOR: PRICE, SCOPE OR FULFILLMENT REVIEW"))</f>
        <v/>
      </c>
    </row>
    <row r="11">
      <c r="A11" s="2" t="inlineStr">
        <is>
          <t>Rules (proposed, owner to approve): a service is not economically verified until at least 3 MEASURED jobs exist, average margin is at or above the 50% floor and no measured job is more than 10 points below it. A verdict here never changes a price, a gate, or LIVE_READY status; the owner records any verification decision.</t>
        </is>
      </c>
    </row>
    <row r="12"/>
    <row r="13"/>
  </sheetData>
  <mergeCells count="1">
    <mergeCell ref="A11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2026-10-11T18:14:05Z</dcterms:created>
  <dcterms:modified xmlns:dcterms="http://purl.org/dc/terms/" xmlns:xsi="http://www.w3.org/2001/XMLSchema-instance" xsi:type="dcterms:W3CDTF">2026-10-11T18:14:05Z</dcterms:modified>
</cp:coreProperties>
</file>