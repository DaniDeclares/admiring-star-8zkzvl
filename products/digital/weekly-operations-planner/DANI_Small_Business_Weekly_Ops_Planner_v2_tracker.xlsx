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dashboard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"/>
    <numFmt numFmtId="166" formatCode="yyyy-mm-dd"/>
  </numFmts>
  <fonts count="4">
    <font>
      <name val="Calibri"/>
      <family val="2"/>
      <color theme="1"/>
      <sz val="11"/>
      <scheme val="minor"/>
    </font>
    <font>
      <b val="1"/>
      <color rgb="00800020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F7F1E6"/>
      </patternFill>
    </fill>
  </fills>
  <borders count="2">
    <border>
      <left/>
      <right/>
      <top/>
      <bottom/>
      <diagonal/>
    </border>
    <border>
      <left style="thin">
        <color rgb="00E8D5B0"/>
      </left>
      <right style="thin">
        <color rgb="00E8D5B0"/>
      </right>
      <top style="thin">
        <color rgb="00E8D5B0"/>
      </top>
      <bottom style="thin">
        <color rgb="00E8D5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Weekly Operations Planner: dashboard</t>
        </is>
      </c>
    </row>
    <row r="2">
      <c r="A2" t="inlineStr">
        <is>
          <t>Type in the shaded cells for each week. Rates calculate. Count money received, not promises. Example values are an illustration, not a target or earnings claim.</t>
        </is>
      </c>
    </row>
    <row r="4">
      <c r="A4" s="2" t="inlineStr">
        <is>
          <t>Measure</t>
        </is>
      </c>
      <c r="B4" s="2" t="inlineStr">
        <is>
          <t>Week 1</t>
        </is>
      </c>
      <c r="C4" s="2" t="inlineStr">
        <is>
          <t>Week 2</t>
        </is>
      </c>
      <c r="D4" s="2" t="inlineStr">
        <is>
          <t>Week 3</t>
        </is>
      </c>
      <c r="E4" s="2" t="inlineStr">
        <is>
          <t>Week 4</t>
        </is>
      </c>
      <c r="F4" s="2" t="inlineStr">
        <is>
          <t>Month</t>
        </is>
      </c>
    </row>
    <row r="5">
      <c r="A5" s="3" t="inlineStr">
        <is>
          <t>Qualified inquiries</t>
        </is>
      </c>
      <c r="B5" s="4" t="n">
        <v>8</v>
      </c>
      <c r="C5" s="4" t="n">
        <v>0</v>
      </c>
      <c r="D5" s="4" t="n">
        <v>0</v>
      </c>
      <c r="E5" s="4" t="n">
        <v>0</v>
      </c>
      <c r="F5">
        <f>SUM(B5:E5)</f>
        <v/>
      </c>
    </row>
    <row r="6">
      <c r="A6" s="3" t="inlineStr">
        <is>
          <t>Quotes sent</t>
        </is>
      </c>
      <c r="B6" s="4" t="n">
        <v>5</v>
      </c>
      <c r="C6" s="4" t="n">
        <v>0</v>
      </c>
      <c r="D6" s="4" t="n">
        <v>0</v>
      </c>
      <c r="E6" s="4" t="n">
        <v>0</v>
      </c>
      <c r="F6">
        <f>SUM(B6:E6)</f>
        <v/>
      </c>
    </row>
    <row r="7">
      <c r="A7" s="3" t="inlineStr">
        <is>
          <t>Quotes accepted</t>
        </is>
      </c>
      <c r="B7" s="4" t="n">
        <v>3</v>
      </c>
      <c r="C7" s="4" t="n">
        <v>0</v>
      </c>
      <c r="D7" s="4" t="n">
        <v>0</v>
      </c>
      <c r="E7" s="4" t="n">
        <v>0</v>
      </c>
      <c r="F7">
        <f>SUM(B7:E7)</f>
        <v/>
      </c>
    </row>
    <row r="8">
      <c r="A8" s="3" t="inlineStr">
        <is>
          <t>Invoiced ($)</t>
        </is>
      </c>
      <c r="B8" s="5" t="n">
        <v>950</v>
      </c>
      <c r="C8" s="5" t="n">
        <v>0</v>
      </c>
      <c r="D8" s="5" t="n">
        <v>0</v>
      </c>
      <c r="E8" s="5" t="n">
        <v>0</v>
      </c>
      <c r="F8" s="6">
        <f>SUM(B8:E8)</f>
        <v/>
      </c>
    </row>
    <row r="9">
      <c r="A9" s="3" t="inlineStr">
        <is>
          <t>Collected ($)</t>
        </is>
      </c>
      <c r="B9" s="5" t="n">
        <v>780</v>
      </c>
      <c r="C9" s="5" t="n">
        <v>0</v>
      </c>
      <c r="D9" s="5" t="n">
        <v>0</v>
      </c>
      <c r="E9" s="5" t="n">
        <v>0</v>
      </c>
      <c r="F9" s="6">
        <f>SUM(B9:E9)</f>
        <v/>
      </c>
    </row>
    <row r="10">
      <c r="A10" s="3" t="inlineStr">
        <is>
          <t>Jobs that passed your quality check</t>
        </is>
      </c>
      <c r="B10" s="4" t="n">
        <v>3</v>
      </c>
      <c r="C10" s="4" t="n">
        <v>0</v>
      </c>
      <c r="D10" s="4" t="n">
        <v>0</v>
      </c>
      <c r="E10" s="4" t="n">
        <v>0</v>
      </c>
      <c r="F10">
        <f>SUM(B10:E10)</f>
        <v/>
      </c>
    </row>
    <row r="11">
      <c r="A11" s="3" t="inlineStr">
        <is>
          <t>Hours worked</t>
        </is>
      </c>
      <c r="B11" s="4" t="n">
        <v>10</v>
      </c>
      <c r="C11" s="4" t="n">
        <v>0</v>
      </c>
      <c r="D11" s="4" t="n">
        <v>0</v>
      </c>
      <c r="E11" s="4" t="n">
        <v>0</v>
      </c>
      <c r="F11">
        <f>SUM(B11:E11)</f>
        <v/>
      </c>
    </row>
    <row r="12">
      <c r="A12" s="3" t="inlineStr">
        <is>
          <t>Supplies cost ($)</t>
        </is>
      </c>
      <c r="B12" s="5" t="n">
        <v>45</v>
      </c>
      <c r="C12" s="5" t="n">
        <v>0</v>
      </c>
      <c r="D12" s="5" t="n">
        <v>0</v>
      </c>
      <c r="E12" s="5" t="n">
        <v>0</v>
      </c>
      <c r="F12" s="6">
        <f>SUM(B12:E12)</f>
        <v/>
      </c>
    </row>
    <row r="13">
      <c r="A13" s="3" t="inlineStr">
        <is>
          <t>Travel cost ($)</t>
        </is>
      </c>
      <c r="B13" s="5" t="n">
        <v>30</v>
      </c>
      <c r="C13" s="5" t="n">
        <v>0</v>
      </c>
      <c r="D13" s="5" t="n">
        <v>0</v>
      </c>
      <c r="E13" s="5" t="n">
        <v>0</v>
      </c>
      <c r="F13" s="6">
        <f>SUM(B13:E13)</f>
        <v/>
      </c>
    </row>
    <row r="15">
      <c r="A15" s="3" t="inlineStr">
        <is>
          <t>Quote win rate (%)</t>
        </is>
      </c>
      <c r="B15" s="7">
        <f>IF(B6&gt;0,B7/B6*100,"")</f>
        <v/>
      </c>
      <c r="C15" s="7">
        <f>IF(C6&gt;0,C7/C6*100,"")</f>
        <v/>
      </c>
      <c r="D15" s="7">
        <f>IF(D6&gt;0,D7/D6*100,"")</f>
        <v/>
      </c>
      <c r="E15" s="7">
        <f>IF(E6&gt;0,E7/E6*100,"")</f>
        <v/>
      </c>
      <c r="F15" s="7">
        <f>IF(F6&gt;0,F7/F6*100,"")</f>
        <v/>
      </c>
    </row>
    <row r="16">
      <c r="A16" s="3" t="inlineStr">
        <is>
          <t>Collection rate (%)</t>
        </is>
      </c>
      <c r="B16" s="7">
        <f>IF(B8&gt;0,B9/B8*100,"")</f>
        <v/>
      </c>
      <c r="C16" s="7">
        <f>IF(C8&gt;0,C9/C8*100,"")</f>
        <v/>
      </c>
      <c r="D16" s="7">
        <f>IF(D8&gt;0,D9/D8*100,"")</f>
        <v/>
      </c>
      <c r="E16" s="7">
        <f>IF(E8&gt;0,E9/E8*100,"")</f>
        <v/>
      </c>
      <c r="F16" s="7">
        <f>IF(F8&gt;0,F9/F8*100,"")</f>
        <v/>
      </c>
    </row>
    <row r="17">
      <c r="A17" s="3" t="inlineStr">
        <is>
          <t>Average accepted job ($)</t>
        </is>
      </c>
      <c r="B17" s="6">
        <f>IF(B7&gt;0,B8/B7,"")</f>
        <v/>
      </c>
      <c r="C17" s="6">
        <f>IF(C7&gt;0,C8/C7,"")</f>
        <v/>
      </c>
      <c r="D17" s="6">
        <f>IF(D7&gt;0,D8/D7,"")</f>
        <v/>
      </c>
      <c r="E17" s="6">
        <f>IF(E7&gt;0,E8/E7,"")</f>
        <v/>
      </c>
      <c r="F17" s="6">
        <f>IF(F7&gt;0,F8/F7,"")</f>
        <v/>
      </c>
    </row>
    <row r="18">
      <c r="A18" s="3" t="inlineStr">
        <is>
          <t>Outstanding ($)</t>
        </is>
      </c>
      <c r="B18" s="6">
        <f>B8-B9</f>
        <v/>
      </c>
      <c r="C18" s="6">
        <f>C8-C9</f>
        <v/>
      </c>
      <c r="D18" s="6">
        <f>D8-D9</f>
        <v/>
      </c>
      <c r="E18" s="6">
        <f>E8-E9</f>
        <v/>
      </c>
      <c r="F18" s="6">
        <f>F8-F9</f>
        <v/>
      </c>
    </row>
    <row r="19">
      <c r="A19" s="3" t="inlineStr">
        <is>
          <t>Cost per week: supplies + travel ($)</t>
        </is>
      </c>
      <c r="B19" s="6">
        <f>B12+B13</f>
        <v/>
      </c>
      <c r="C19" s="6">
        <f>C12+C13</f>
        <v/>
      </c>
      <c r="D19" s="6">
        <f>D12+D13</f>
        <v/>
      </c>
      <c r="E19" s="6">
        <f>E12+E13</f>
        <v/>
      </c>
      <c r="F19" s="6">
        <f>F12+F13</f>
        <v/>
      </c>
    </row>
    <row r="20">
      <c r="A20" s="3" t="inlineStr">
        <is>
          <t>Cash after supplies and travel ($)</t>
        </is>
      </c>
      <c r="B20" s="6">
        <f>B9-(B12+B13)</f>
        <v/>
      </c>
      <c r="C20" s="6">
        <f>C9-(C12+C13)</f>
        <v/>
      </c>
      <c r="D20" s="6">
        <f>D9-(D12+D13)</f>
        <v/>
      </c>
      <c r="E20" s="6">
        <f>E9-(E12+E13)</f>
        <v/>
      </c>
      <c r="F20" s="6">
        <f>F9-(F12+F13)</f>
        <v/>
      </c>
    </row>
    <row r="21">
      <c r="A21" s="3" t="inlineStr">
        <is>
          <t>Collected per hour worked ($)</t>
        </is>
      </c>
      <c r="B21" s="6">
        <f>IF(B11&gt;0,B9/B11,"")</f>
        <v/>
      </c>
      <c r="C21" s="6">
        <f>IF(C11&gt;0,C9/C11,"")</f>
        <v/>
      </c>
      <c r="D21" s="6">
        <f>IF(D11&gt;0,D9/D11,"")</f>
        <v/>
      </c>
      <c r="E21" s="6">
        <f>IF(E11&gt;0,E9/E11,"")</f>
        <v/>
      </c>
      <c r="F21" s="6">
        <f>IF(F11&gt;0,F9/F11,"")</f>
        <v/>
      </c>
    </row>
    <row r="23">
      <c r="A23" t="inlineStr">
        <is>
          <t>Collected per hour is before your own overhead and taxes. Not legal, tax or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2" t="inlineStr">
        <is>
          <t>Quote #</t>
        </is>
      </c>
      <c r="B1" s="2" t="inlineStr">
        <is>
          <t>Customer</t>
        </is>
      </c>
      <c r="C1" s="2" t="inlineStr">
        <is>
          <t>Service</t>
        </is>
      </c>
      <c r="D1" s="2" t="inlineStr">
        <is>
          <t>Price ($)</t>
        </is>
      </c>
      <c r="E1" s="2" t="inlineStr">
        <is>
          <t>Status</t>
        </is>
      </c>
      <c r="F1" s="2" t="inlineStr">
        <is>
          <t>Sent</t>
        </is>
      </c>
      <c r="G1" s="2" t="inlineStr">
        <is>
          <t>Decide by</t>
        </is>
      </c>
      <c r="H1" s="2" t="inlineStr">
        <is>
          <t>Permission to follow up?</t>
        </is>
      </c>
      <c r="J1" t="inlineStr">
        <is>
          <t>Status</t>
        </is>
      </c>
      <c r="K1" t="inlineStr">
        <is>
          <t>Count</t>
        </is>
      </c>
      <c r="L1" t="inlineStr">
        <is>
          <t>Value ($)</t>
        </is>
      </c>
    </row>
    <row r="2">
      <c r="D2" s="6" t="n"/>
      <c r="J2" t="inlineStr">
        <is>
          <t>Draft</t>
        </is>
      </c>
      <c r="K2">
        <f>COUNTIF($E$2:$E$101,J2)</f>
        <v/>
      </c>
      <c r="L2" s="6">
        <f>SUMIF($E$2:$E$101,J2,$D$2:$D$101)</f>
        <v/>
      </c>
    </row>
    <row r="3">
      <c r="D3" s="6" t="n"/>
      <c r="J3" t="inlineStr">
        <is>
          <t>Sent</t>
        </is>
      </c>
      <c r="K3">
        <f>COUNTIF($E$2:$E$101,J3)</f>
        <v/>
      </c>
      <c r="L3" s="6">
        <f>SUMIF($E$2:$E$101,J3,$D$2:$D$101)</f>
        <v/>
      </c>
    </row>
    <row r="4">
      <c r="D4" s="6" t="n"/>
      <c r="J4" t="inlineStr">
        <is>
          <t>Accepted</t>
        </is>
      </c>
      <c r="K4">
        <f>COUNTIF($E$2:$E$101,J4)</f>
        <v/>
      </c>
      <c r="L4" s="6">
        <f>SUMIF($E$2:$E$101,J4,$D$2:$D$101)</f>
        <v/>
      </c>
    </row>
    <row r="5">
      <c r="D5" s="6" t="n"/>
      <c r="J5" t="inlineStr">
        <is>
          <t>Declined</t>
        </is>
      </c>
      <c r="K5">
        <f>COUNTIF($E$2:$E$101,J5)</f>
        <v/>
      </c>
      <c r="L5" s="6">
        <f>SUMIF($E$2:$E$101,J5,$D$2:$D$101)</f>
        <v/>
      </c>
    </row>
    <row r="6">
      <c r="D6" s="6" t="n"/>
      <c r="J6" t="inlineStr">
        <is>
          <t>Expired</t>
        </is>
      </c>
      <c r="K6">
        <f>COUNTIF($E$2:$E$101,J6)</f>
        <v/>
      </c>
      <c r="L6" s="6">
        <f>SUMIF($E$2:$E$101,J6,$D$2:$D$101)</f>
        <v/>
      </c>
    </row>
    <row r="7">
      <c r="D7" s="6" t="n"/>
    </row>
    <row r="8">
      <c r="D8" s="6" t="n"/>
      <c r="J8" t="inlineStr">
        <is>
          <t>Open (Sent) value</t>
        </is>
      </c>
      <c r="L8" s="6">
        <f>L3</f>
        <v/>
      </c>
    </row>
    <row r="9">
      <c r="D9" s="6" t="n"/>
    </row>
    <row r="10">
      <c r="D10" s="6" t="n"/>
    </row>
    <row r="11">
      <c r="D11" s="6" t="n"/>
    </row>
    <row r="12">
      <c r="D12" s="6" t="n"/>
    </row>
    <row r="13">
      <c r="D13" s="6" t="n"/>
    </row>
    <row r="14">
      <c r="D14" s="6" t="n"/>
    </row>
    <row r="15">
      <c r="D15" s="6" t="n"/>
    </row>
    <row r="16">
      <c r="D16" s="6" t="n"/>
    </row>
    <row r="17">
      <c r="D17" s="6" t="n"/>
    </row>
    <row r="18">
      <c r="D18" s="6" t="n"/>
    </row>
    <row r="19">
      <c r="D19" s="6" t="n"/>
    </row>
    <row r="20">
      <c r="D20" s="6" t="n"/>
    </row>
    <row r="21">
      <c r="D21" s="6" t="n"/>
    </row>
    <row r="22">
      <c r="D22" s="6" t="n"/>
    </row>
    <row r="23">
      <c r="D23" s="6" t="n"/>
    </row>
    <row r="24">
      <c r="D24" s="6" t="n"/>
    </row>
    <row r="25">
      <c r="D25" s="6" t="n"/>
    </row>
    <row r="26">
      <c r="D26" s="6" t="n"/>
    </row>
    <row r="27">
      <c r="D27" s="6" t="n"/>
    </row>
    <row r="28">
      <c r="D28" s="6" t="n"/>
    </row>
    <row r="29">
      <c r="D29" s="6" t="n"/>
    </row>
    <row r="30">
      <c r="D30" s="6" t="n"/>
    </row>
    <row r="31">
      <c r="D31" s="6" t="n"/>
    </row>
    <row r="32">
      <c r="D32" s="6" t="n"/>
    </row>
    <row r="33">
      <c r="D33" s="6" t="n"/>
    </row>
    <row r="34">
      <c r="D34" s="6" t="n"/>
    </row>
    <row r="35">
      <c r="D35" s="6" t="n"/>
    </row>
    <row r="36">
      <c r="D36" s="6" t="n"/>
    </row>
    <row r="37">
      <c r="D37" s="6" t="n"/>
    </row>
    <row r="38">
      <c r="D38" s="6" t="n"/>
    </row>
    <row r="39">
      <c r="D39" s="6" t="n"/>
    </row>
    <row r="40">
      <c r="D40" s="6" t="n"/>
    </row>
    <row r="41">
      <c r="D41" s="6" t="n"/>
    </row>
    <row r="42">
      <c r="D42" s="6" t="n"/>
    </row>
    <row r="43">
      <c r="D43" s="6" t="n"/>
    </row>
    <row r="44">
      <c r="D44" s="6" t="n"/>
    </row>
    <row r="45">
      <c r="D45" s="6" t="n"/>
    </row>
    <row r="46">
      <c r="D46" s="6" t="n"/>
    </row>
    <row r="47">
      <c r="D47" s="6" t="n"/>
    </row>
    <row r="48">
      <c r="D48" s="6" t="n"/>
    </row>
    <row r="49">
      <c r="D49" s="6" t="n"/>
    </row>
    <row r="50">
      <c r="D50" s="6" t="n"/>
    </row>
    <row r="51">
      <c r="D51" s="6" t="n"/>
    </row>
    <row r="52">
      <c r="D52" s="6" t="n"/>
    </row>
    <row r="53">
      <c r="D53" s="6" t="n"/>
    </row>
    <row r="54">
      <c r="D54" s="6" t="n"/>
    </row>
    <row r="55">
      <c r="D55" s="6" t="n"/>
    </row>
    <row r="56">
      <c r="D56" s="6" t="n"/>
    </row>
    <row r="57">
      <c r="D57" s="6" t="n"/>
    </row>
    <row r="58">
      <c r="D58" s="6" t="n"/>
    </row>
    <row r="59">
      <c r="D59" s="6" t="n"/>
    </row>
    <row r="60">
      <c r="D60" s="6" t="n"/>
    </row>
    <row r="61">
      <c r="D61" s="6" t="n"/>
    </row>
    <row r="62">
      <c r="D62" s="6" t="n"/>
    </row>
    <row r="63">
      <c r="D63" s="6" t="n"/>
    </row>
    <row r="64">
      <c r="D64" s="6" t="n"/>
    </row>
    <row r="65">
      <c r="D65" s="6" t="n"/>
    </row>
    <row r="66">
      <c r="D66" s="6" t="n"/>
    </row>
    <row r="67">
      <c r="D67" s="6" t="n"/>
    </row>
    <row r="68">
      <c r="D68" s="6" t="n"/>
    </row>
    <row r="69">
      <c r="D69" s="6" t="n"/>
    </row>
    <row r="70">
      <c r="D70" s="6" t="n"/>
    </row>
    <row r="71">
      <c r="D71" s="6" t="n"/>
    </row>
    <row r="72">
      <c r="D72" s="6" t="n"/>
    </row>
    <row r="73">
      <c r="D73" s="6" t="n"/>
    </row>
    <row r="74">
      <c r="D74" s="6" t="n"/>
    </row>
    <row r="75">
      <c r="D75" s="6" t="n"/>
    </row>
    <row r="76">
      <c r="D76" s="6" t="n"/>
    </row>
    <row r="77">
      <c r="D77" s="6" t="n"/>
    </row>
    <row r="78">
      <c r="D78" s="6" t="n"/>
    </row>
    <row r="79">
      <c r="D79" s="6" t="n"/>
    </row>
    <row r="80">
      <c r="D80" s="6" t="n"/>
    </row>
    <row r="81">
      <c r="D81" s="6" t="n"/>
    </row>
    <row r="82">
      <c r="D82" s="6" t="n"/>
    </row>
    <row r="83">
      <c r="D83" s="6" t="n"/>
    </row>
    <row r="84">
      <c r="D84" s="6" t="n"/>
    </row>
    <row r="85">
      <c r="D85" s="6" t="n"/>
    </row>
    <row r="86">
      <c r="D86" s="6" t="n"/>
    </row>
    <row r="87">
      <c r="D87" s="6" t="n"/>
    </row>
    <row r="88">
      <c r="D88" s="6" t="n"/>
    </row>
    <row r="89">
      <c r="D89" s="6" t="n"/>
    </row>
    <row r="90">
      <c r="D90" s="6" t="n"/>
    </row>
    <row r="91">
      <c r="D91" s="6" t="n"/>
    </row>
    <row r="92">
      <c r="D92" s="6" t="n"/>
    </row>
    <row r="93">
      <c r="D93" s="6" t="n"/>
    </row>
    <row r="94">
      <c r="D94" s="6" t="n"/>
    </row>
    <row r="95">
      <c r="D95" s="6" t="n"/>
    </row>
    <row r="96">
      <c r="D96" s="6" t="n"/>
    </row>
    <row r="97">
      <c r="D97" s="6" t="n"/>
    </row>
    <row r="98">
      <c r="D98" s="6" t="n"/>
    </row>
    <row r="99">
      <c r="D99" s="6" t="n"/>
    </row>
    <row r="100">
      <c r="D100" s="6" t="n"/>
    </row>
    <row r="101">
      <c r="D101" s="6" t="n"/>
    </row>
  </sheetData>
  <dataValidations count="2">
    <dataValidation sqref="E2:E101" showDropDown="0" showInputMessage="0" showErrorMessage="0" allowBlank="1" type="list">
      <formula1>"Draft,Sent,Accepted,Declined,Expired"</formula1>
    </dataValidation>
    <dataValidation sqref="H2:H101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2" t="inlineStr">
        <is>
          <t>Invoice #</t>
        </is>
      </c>
      <c r="B1" s="2" t="inlineStr">
        <is>
          <t>Customer</t>
        </is>
      </c>
      <c r="C1" s="2" t="inlineStr">
        <is>
          <t>Amount ($)</t>
        </is>
      </c>
      <c r="D1" s="2" t="inlineStr">
        <is>
          <t>Sent</t>
        </is>
      </c>
      <c r="E1" s="2" t="inlineStr">
        <is>
          <t>Due</t>
        </is>
      </c>
      <c r="F1" s="2" t="inlineStr">
        <is>
          <t>Paid on</t>
        </is>
      </c>
      <c r="G1" s="2" t="inlineStr">
        <is>
          <t>Days past due</t>
        </is>
      </c>
      <c r="H1" s="2" t="inlineStr">
        <is>
          <t>Open amount ($)</t>
        </is>
      </c>
      <c r="J1" t="inlineStr">
        <is>
          <t>Total open ($)</t>
        </is>
      </c>
      <c r="K1" s="6">
        <f>SUM(H2:H101)</f>
        <v/>
      </c>
    </row>
    <row r="2">
      <c r="C2" s="6" t="n"/>
      <c r="D2" s="8" t="n"/>
      <c r="E2" s="8" t="n"/>
      <c r="F2" s="8" t="n"/>
      <c r="G2">
        <f>IF(AND(E2&lt;&gt;"",F2="",TODAY()&gt;E2),TODAY()-E2,"")</f>
        <v/>
      </c>
      <c r="H2" s="6">
        <f>IF(AND(C2&lt;&gt;"",F2=""),C2,0)</f>
        <v/>
      </c>
      <c r="J2" t="inlineStr">
        <is>
          <t>Oldest unpaid (days)</t>
        </is>
      </c>
      <c r="K2">
        <f>IF(COUNT(G2:G101)&gt;0,MAX(G2:G101),0)</f>
        <v/>
      </c>
    </row>
    <row r="3">
      <c r="C3" s="6" t="n"/>
      <c r="D3" s="8" t="n"/>
      <c r="E3" s="8" t="n"/>
      <c r="F3" s="8" t="n"/>
      <c r="G3">
        <f>IF(AND(E3&lt;&gt;"",F3="",TODAY()&gt;E3),TODAY()-E3,"")</f>
        <v/>
      </c>
      <c r="H3" s="6">
        <f>IF(AND(C3&lt;&gt;"",F3=""),C3,0)</f>
        <v/>
      </c>
    </row>
    <row r="4">
      <c r="C4" s="6" t="n"/>
      <c r="D4" s="8" t="n"/>
      <c r="E4" s="8" t="n"/>
      <c r="F4" s="8" t="n"/>
      <c r="G4">
        <f>IF(AND(E4&lt;&gt;"",F4="",TODAY()&gt;E4),TODAY()-E4,"")</f>
        <v/>
      </c>
      <c r="H4" s="6">
        <f>IF(AND(C4&lt;&gt;"",F4=""),C4,0)</f>
        <v/>
      </c>
    </row>
    <row r="5">
      <c r="C5" s="6" t="n"/>
      <c r="D5" s="8" t="n"/>
      <c r="E5" s="8" t="n"/>
      <c r="F5" s="8" t="n"/>
      <c r="G5">
        <f>IF(AND(E5&lt;&gt;"",F5="",TODAY()&gt;E5),TODAY()-E5,"")</f>
        <v/>
      </c>
      <c r="H5" s="6">
        <f>IF(AND(C5&lt;&gt;"",F5=""),C5,0)</f>
        <v/>
      </c>
    </row>
    <row r="6">
      <c r="C6" s="6" t="n"/>
      <c r="D6" s="8" t="n"/>
      <c r="E6" s="8" t="n"/>
      <c r="F6" s="8" t="n"/>
      <c r="G6">
        <f>IF(AND(E6&lt;&gt;"",F6="",TODAY()&gt;E6),TODAY()-E6,"")</f>
        <v/>
      </c>
      <c r="H6" s="6">
        <f>IF(AND(C6&lt;&gt;"",F6=""),C6,0)</f>
        <v/>
      </c>
    </row>
    <row r="7">
      <c r="C7" s="6" t="n"/>
      <c r="D7" s="8" t="n"/>
      <c r="E7" s="8" t="n"/>
      <c r="F7" s="8" t="n"/>
      <c r="G7">
        <f>IF(AND(E7&lt;&gt;"",F7="",TODAY()&gt;E7),TODAY()-E7,"")</f>
        <v/>
      </c>
      <c r="H7" s="6">
        <f>IF(AND(C7&lt;&gt;"",F7=""),C7,0)</f>
        <v/>
      </c>
    </row>
    <row r="8">
      <c r="C8" s="6" t="n"/>
      <c r="D8" s="8" t="n"/>
      <c r="E8" s="8" t="n"/>
      <c r="F8" s="8" t="n"/>
      <c r="G8">
        <f>IF(AND(E8&lt;&gt;"",F8="",TODAY()&gt;E8),TODAY()-E8,"")</f>
        <v/>
      </c>
      <c r="H8" s="6">
        <f>IF(AND(C8&lt;&gt;"",F8=""),C8,0)</f>
        <v/>
      </c>
    </row>
    <row r="9">
      <c r="C9" s="6" t="n"/>
      <c r="D9" s="8" t="n"/>
      <c r="E9" s="8" t="n"/>
      <c r="F9" s="8" t="n"/>
      <c r="G9">
        <f>IF(AND(E9&lt;&gt;"",F9="",TODAY()&gt;E9),TODAY()-E9,"")</f>
        <v/>
      </c>
      <c r="H9" s="6">
        <f>IF(AND(C9&lt;&gt;"",F9=""),C9,0)</f>
        <v/>
      </c>
    </row>
    <row r="10">
      <c r="C10" s="6" t="n"/>
      <c r="D10" s="8" t="n"/>
      <c r="E10" s="8" t="n"/>
      <c r="F10" s="8" t="n"/>
      <c r="G10">
        <f>IF(AND(E10&lt;&gt;"",F10="",TODAY()&gt;E10),TODAY()-E10,"")</f>
        <v/>
      </c>
      <c r="H10" s="6">
        <f>IF(AND(C10&lt;&gt;"",F10=""),C10,0)</f>
        <v/>
      </c>
    </row>
    <row r="11">
      <c r="C11" s="6" t="n"/>
      <c r="D11" s="8" t="n"/>
      <c r="E11" s="8" t="n"/>
      <c r="F11" s="8" t="n"/>
      <c r="G11">
        <f>IF(AND(E11&lt;&gt;"",F11="",TODAY()&gt;E11),TODAY()-E11,"")</f>
        <v/>
      </c>
      <c r="H11" s="6">
        <f>IF(AND(C11&lt;&gt;"",F11=""),C11,0)</f>
        <v/>
      </c>
    </row>
    <row r="12">
      <c r="C12" s="6" t="n"/>
      <c r="D12" s="8" t="n"/>
      <c r="E12" s="8" t="n"/>
      <c r="F12" s="8" t="n"/>
      <c r="G12">
        <f>IF(AND(E12&lt;&gt;"",F12="",TODAY()&gt;E12),TODAY()-E12,"")</f>
        <v/>
      </c>
      <c r="H12" s="6">
        <f>IF(AND(C12&lt;&gt;"",F12=""),C12,0)</f>
        <v/>
      </c>
    </row>
    <row r="13">
      <c r="C13" s="6" t="n"/>
      <c r="D13" s="8" t="n"/>
      <c r="E13" s="8" t="n"/>
      <c r="F13" s="8" t="n"/>
      <c r="G13">
        <f>IF(AND(E13&lt;&gt;"",F13="",TODAY()&gt;E13),TODAY()-E13,"")</f>
        <v/>
      </c>
      <c r="H13" s="6">
        <f>IF(AND(C13&lt;&gt;"",F13=""),C13,0)</f>
        <v/>
      </c>
    </row>
    <row r="14">
      <c r="C14" s="6" t="n"/>
      <c r="D14" s="8" t="n"/>
      <c r="E14" s="8" t="n"/>
      <c r="F14" s="8" t="n"/>
      <c r="G14">
        <f>IF(AND(E14&lt;&gt;"",F14="",TODAY()&gt;E14),TODAY()-E14,"")</f>
        <v/>
      </c>
      <c r="H14" s="6">
        <f>IF(AND(C14&lt;&gt;"",F14=""),C14,0)</f>
        <v/>
      </c>
    </row>
    <row r="15">
      <c r="C15" s="6" t="n"/>
      <c r="D15" s="8" t="n"/>
      <c r="E15" s="8" t="n"/>
      <c r="F15" s="8" t="n"/>
      <c r="G15">
        <f>IF(AND(E15&lt;&gt;"",F15="",TODAY()&gt;E15),TODAY()-E15,"")</f>
        <v/>
      </c>
      <c r="H15" s="6">
        <f>IF(AND(C15&lt;&gt;"",F15=""),C15,0)</f>
        <v/>
      </c>
    </row>
    <row r="16">
      <c r="C16" s="6" t="n"/>
      <c r="D16" s="8" t="n"/>
      <c r="E16" s="8" t="n"/>
      <c r="F16" s="8" t="n"/>
      <c r="G16">
        <f>IF(AND(E16&lt;&gt;"",F16="",TODAY()&gt;E16),TODAY()-E16,"")</f>
        <v/>
      </c>
      <c r="H16" s="6">
        <f>IF(AND(C16&lt;&gt;"",F16=""),C16,0)</f>
        <v/>
      </c>
    </row>
    <row r="17">
      <c r="C17" s="6" t="n"/>
      <c r="D17" s="8" t="n"/>
      <c r="E17" s="8" t="n"/>
      <c r="F17" s="8" t="n"/>
      <c r="G17">
        <f>IF(AND(E17&lt;&gt;"",F17="",TODAY()&gt;E17),TODAY()-E17,"")</f>
        <v/>
      </c>
      <c r="H17" s="6">
        <f>IF(AND(C17&lt;&gt;"",F17=""),C17,0)</f>
        <v/>
      </c>
    </row>
    <row r="18">
      <c r="C18" s="6" t="n"/>
      <c r="D18" s="8" t="n"/>
      <c r="E18" s="8" t="n"/>
      <c r="F18" s="8" t="n"/>
      <c r="G18">
        <f>IF(AND(E18&lt;&gt;"",F18="",TODAY()&gt;E18),TODAY()-E18,"")</f>
        <v/>
      </c>
      <c r="H18" s="6">
        <f>IF(AND(C18&lt;&gt;"",F18=""),C18,0)</f>
        <v/>
      </c>
    </row>
    <row r="19">
      <c r="C19" s="6" t="n"/>
      <c r="D19" s="8" t="n"/>
      <c r="E19" s="8" t="n"/>
      <c r="F19" s="8" t="n"/>
      <c r="G19">
        <f>IF(AND(E19&lt;&gt;"",F19="",TODAY()&gt;E19),TODAY()-E19,"")</f>
        <v/>
      </c>
      <c r="H19" s="6">
        <f>IF(AND(C19&lt;&gt;"",F19=""),C19,0)</f>
        <v/>
      </c>
    </row>
    <row r="20">
      <c r="C20" s="6" t="n"/>
      <c r="D20" s="8" t="n"/>
      <c r="E20" s="8" t="n"/>
      <c r="F20" s="8" t="n"/>
      <c r="G20">
        <f>IF(AND(E20&lt;&gt;"",F20="",TODAY()&gt;E20),TODAY()-E20,"")</f>
        <v/>
      </c>
      <c r="H20" s="6">
        <f>IF(AND(C20&lt;&gt;"",F20=""),C20,0)</f>
        <v/>
      </c>
    </row>
    <row r="21">
      <c r="C21" s="6" t="n"/>
      <c r="D21" s="8" t="n"/>
      <c r="E21" s="8" t="n"/>
      <c r="F21" s="8" t="n"/>
      <c r="G21">
        <f>IF(AND(E21&lt;&gt;"",F21="",TODAY()&gt;E21),TODAY()-E21,"")</f>
        <v/>
      </c>
      <c r="H21" s="6">
        <f>IF(AND(C21&lt;&gt;"",F21=""),C21,0)</f>
        <v/>
      </c>
    </row>
    <row r="22">
      <c r="C22" s="6" t="n"/>
      <c r="D22" s="8" t="n"/>
      <c r="E22" s="8" t="n"/>
      <c r="F22" s="8" t="n"/>
      <c r="G22">
        <f>IF(AND(E22&lt;&gt;"",F22="",TODAY()&gt;E22),TODAY()-E22,"")</f>
        <v/>
      </c>
      <c r="H22" s="6">
        <f>IF(AND(C22&lt;&gt;"",F22=""),C22,0)</f>
        <v/>
      </c>
    </row>
    <row r="23">
      <c r="C23" s="6" t="n"/>
      <c r="D23" s="8" t="n"/>
      <c r="E23" s="8" t="n"/>
      <c r="F23" s="8" t="n"/>
      <c r="G23">
        <f>IF(AND(E23&lt;&gt;"",F23="",TODAY()&gt;E23),TODAY()-E23,"")</f>
        <v/>
      </c>
      <c r="H23" s="6">
        <f>IF(AND(C23&lt;&gt;"",F23=""),C23,0)</f>
        <v/>
      </c>
    </row>
    <row r="24">
      <c r="C24" s="6" t="n"/>
      <c r="D24" s="8" t="n"/>
      <c r="E24" s="8" t="n"/>
      <c r="F24" s="8" t="n"/>
      <c r="G24">
        <f>IF(AND(E24&lt;&gt;"",F24="",TODAY()&gt;E24),TODAY()-E24,"")</f>
        <v/>
      </c>
      <c r="H24" s="6">
        <f>IF(AND(C24&lt;&gt;"",F24=""),C24,0)</f>
        <v/>
      </c>
    </row>
    <row r="25">
      <c r="C25" s="6" t="n"/>
      <c r="D25" s="8" t="n"/>
      <c r="E25" s="8" t="n"/>
      <c r="F25" s="8" t="n"/>
      <c r="G25">
        <f>IF(AND(E25&lt;&gt;"",F25="",TODAY()&gt;E25),TODAY()-E25,"")</f>
        <v/>
      </c>
      <c r="H25" s="6">
        <f>IF(AND(C25&lt;&gt;"",F25=""),C25,0)</f>
        <v/>
      </c>
    </row>
    <row r="26">
      <c r="C26" s="6" t="n"/>
      <c r="D26" s="8" t="n"/>
      <c r="E26" s="8" t="n"/>
      <c r="F26" s="8" t="n"/>
      <c r="G26">
        <f>IF(AND(E26&lt;&gt;"",F26="",TODAY()&gt;E26),TODAY()-E26,"")</f>
        <v/>
      </c>
      <c r="H26" s="6">
        <f>IF(AND(C26&lt;&gt;"",F26=""),C26,0)</f>
        <v/>
      </c>
    </row>
    <row r="27">
      <c r="C27" s="6" t="n"/>
      <c r="D27" s="8" t="n"/>
      <c r="E27" s="8" t="n"/>
      <c r="F27" s="8" t="n"/>
      <c r="G27">
        <f>IF(AND(E27&lt;&gt;"",F27="",TODAY()&gt;E27),TODAY()-E27,"")</f>
        <v/>
      </c>
      <c r="H27" s="6">
        <f>IF(AND(C27&lt;&gt;"",F27=""),C27,0)</f>
        <v/>
      </c>
    </row>
    <row r="28">
      <c r="C28" s="6" t="n"/>
      <c r="D28" s="8" t="n"/>
      <c r="E28" s="8" t="n"/>
      <c r="F28" s="8" t="n"/>
      <c r="G28">
        <f>IF(AND(E28&lt;&gt;"",F28="",TODAY()&gt;E28),TODAY()-E28,"")</f>
        <v/>
      </c>
      <c r="H28" s="6">
        <f>IF(AND(C28&lt;&gt;"",F28=""),C28,0)</f>
        <v/>
      </c>
    </row>
    <row r="29">
      <c r="C29" s="6" t="n"/>
      <c r="D29" s="8" t="n"/>
      <c r="E29" s="8" t="n"/>
      <c r="F29" s="8" t="n"/>
      <c r="G29">
        <f>IF(AND(E29&lt;&gt;"",F29="",TODAY()&gt;E29),TODAY()-E29,"")</f>
        <v/>
      </c>
      <c r="H29" s="6">
        <f>IF(AND(C29&lt;&gt;"",F29=""),C29,0)</f>
        <v/>
      </c>
    </row>
    <row r="30">
      <c r="C30" s="6" t="n"/>
      <c r="D30" s="8" t="n"/>
      <c r="E30" s="8" t="n"/>
      <c r="F30" s="8" t="n"/>
      <c r="G30">
        <f>IF(AND(E30&lt;&gt;"",F30="",TODAY()&gt;E30),TODAY()-E30,"")</f>
        <v/>
      </c>
      <c r="H30" s="6">
        <f>IF(AND(C30&lt;&gt;"",F30=""),C30,0)</f>
        <v/>
      </c>
    </row>
    <row r="31">
      <c r="C31" s="6" t="n"/>
      <c r="D31" s="8" t="n"/>
      <c r="E31" s="8" t="n"/>
      <c r="F31" s="8" t="n"/>
      <c r="G31">
        <f>IF(AND(E31&lt;&gt;"",F31="",TODAY()&gt;E31),TODAY()-E31,"")</f>
        <v/>
      </c>
      <c r="H31" s="6">
        <f>IF(AND(C31&lt;&gt;"",F31=""),C31,0)</f>
        <v/>
      </c>
    </row>
    <row r="32">
      <c r="C32" s="6" t="n"/>
      <c r="D32" s="8" t="n"/>
      <c r="E32" s="8" t="n"/>
      <c r="F32" s="8" t="n"/>
      <c r="G32">
        <f>IF(AND(E32&lt;&gt;"",F32="",TODAY()&gt;E32),TODAY()-E32,"")</f>
        <v/>
      </c>
      <c r="H32" s="6">
        <f>IF(AND(C32&lt;&gt;"",F32=""),C32,0)</f>
        <v/>
      </c>
    </row>
    <row r="33">
      <c r="C33" s="6" t="n"/>
      <c r="D33" s="8" t="n"/>
      <c r="E33" s="8" t="n"/>
      <c r="F33" s="8" t="n"/>
      <c r="G33">
        <f>IF(AND(E33&lt;&gt;"",F33="",TODAY()&gt;E33),TODAY()-E33,"")</f>
        <v/>
      </c>
      <c r="H33" s="6">
        <f>IF(AND(C33&lt;&gt;"",F33=""),C33,0)</f>
        <v/>
      </c>
    </row>
    <row r="34">
      <c r="C34" s="6" t="n"/>
      <c r="D34" s="8" t="n"/>
      <c r="E34" s="8" t="n"/>
      <c r="F34" s="8" t="n"/>
      <c r="G34">
        <f>IF(AND(E34&lt;&gt;"",F34="",TODAY()&gt;E34),TODAY()-E34,"")</f>
        <v/>
      </c>
      <c r="H34" s="6">
        <f>IF(AND(C34&lt;&gt;"",F34=""),C34,0)</f>
        <v/>
      </c>
    </row>
    <row r="35">
      <c r="C35" s="6" t="n"/>
      <c r="D35" s="8" t="n"/>
      <c r="E35" s="8" t="n"/>
      <c r="F35" s="8" t="n"/>
      <c r="G35">
        <f>IF(AND(E35&lt;&gt;"",F35="",TODAY()&gt;E35),TODAY()-E35,"")</f>
        <v/>
      </c>
      <c r="H35" s="6">
        <f>IF(AND(C35&lt;&gt;"",F35=""),C35,0)</f>
        <v/>
      </c>
    </row>
    <row r="36">
      <c r="C36" s="6" t="n"/>
      <c r="D36" s="8" t="n"/>
      <c r="E36" s="8" t="n"/>
      <c r="F36" s="8" t="n"/>
      <c r="G36">
        <f>IF(AND(E36&lt;&gt;"",F36="",TODAY()&gt;E36),TODAY()-E36,"")</f>
        <v/>
      </c>
      <c r="H36" s="6">
        <f>IF(AND(C36&lt;&gt;"",F36=""),C36,0)</f>
        <v/>
      </c>
    </row>
    <row r="37">
      <c r="C37" s="6" t="n"/>
      <c r="D37" s="8" t="n"/>
      <c r="E37" s="8" t="n"/>
      <c r="F37" s="8" t="n"/>
      <c r="G37">
        <f>IF(AND(E37&lt;&gt;"",F37="",TODAY()&gt;E37),TODAY()-E37,"")</f>
        <v/>
      </c>
      <c r="H37" s="6">
        <f>IF(AND(C37&lt;&gt;"",F37=""),C37,0)</f>
        <v/>
      </c>
    </row>
    <row r="38">
      <c r="C38" s="6" t="n"/>
      <c r="D38" s="8" t="n"/>
      <c r="E38" s="8" t="n"/>
      <c r="F38" s="8" t="n"/>
      <c r="G38">
        <f>IF(AND(E38&lt;&gt;"",F38="",TODAY()&gt;E38),TODAY()-E38,"")</f>
        <v/>
      </c>
      <c r="H38" s="6">
        <f>IF(AND(C38&lt;&gt;"",F38=""),C38,0)</f>
        <v/>
      </c>
    </row>
    <row r="39">
      <c r="C39" s="6" t="n"/>
      <c r="D39" s="8" t="n"/>
      <c r="E39" s="8" t="n"/>
      <c r="F39" s="8" t="n"/>
      <c r="G39">
        <f>IF(AND(E39&lt;&gt;"",F39="",TODAY()&gt;E39),TODAY()-E39,"")</f>
        <v/>
      </c>
      <c r="H39" s="6">
        <f>IF(AND(C39&lt;&gt;"",F39=""),C39,0)</f>
        <v/>
      </c>
    </row>
    <row r="40">
      <c r="C40" s="6" t="n"/>
      <c r="D40" s="8" t="n"/>
      <c r="E40" s="8" t="n"/>
      <c r="F40" s="8" t="n"/>
      <c r="G40">
        <f>IF(AND(E40&lt;&gt;"",F40="",TODAY()&gt;E40),TODAY()-E40,"")</f>
        <v/>
      </c>
      <c r="H40" s="6">
        <f>IF(AND(C40&lt;&gt;"",F40=""),C40,0)</f>
        <v/>
      </c>
    </row>
    <row r="41">
      <c r="C41" s="6" t="n"/>
      <c r="D41" s="8" t="n"/>
      <c r="E41" s="8" t="n"/>
      <c r="F41" s="8" t="n"/>
      <c r="G41">
        <f>IF(AND(E41&lt;&gt;"",F41="",TODAY()&gt;E41),TODAY()-E41,"")</f>
        <v/>
      </c>
      <c r="H41" s="6">
        <f>IF(AND(C41&lt;&gt;"",F41=""),C41,0)</f>
        <v/>
      </c>
    </row>
    <row r="42">
      <c r="C42" s="6" t="n"/>
      <c r="D42" s="8" t="n"/>
      <c r="E42" s="8" t="n"/>
      <c r="F42" s="8" t="n"/>
      <c r="G42">
        <f>IF(AND(E42&lt;&gt;"",F42="",TODAY()&gt;E42),TODAY()-E42,"")</f>
        <v/>
      </c>
      <c r="H42" s="6">
        <f>IF(AND(C42&lt;&gt;"",F42=""),C42,0)</f>
        <v/>
      </c>
    </row>
    <row r="43">
      <c r="C43" s="6" t="n"/>
      <c r="D43" s="8" t="n"/>
      <c r="E43" s="8" t="n"/>
      <c r="F43" s="8" t="n"/>
      <c r="G43">
        <f>IF(AND(E43&lt;&gt;"",F43="",TODAY()&gt;E43),TODAY()-E43,"")</f>
        <v/>
      </c>
      <c r="H43" s="6">
        <f>IF(AND(C43&lt;&gt;"",F43=""),C43,0)</f>
        <v/>
      </c>
    </row>
    <row r="44">
      <c r="C44" s="6" t="n"/>
      <c r="D44" s="8" t="n"/>
      <c r="E44" s="8" t="n"/>
      <c r="F44" s="8" t="n"/>
      <c r="G44">
        <f>IF(AND(E44&lt;&gt;"",F44="",TODAY()&gt;E44),TODAY()-E44,"")</f>
        <v/>
      </c>
      <c r="H44" s="6">
        <f>IF(AND(C44&lt;&gt;"",F44=""),C44,0)</f>
        <v/>
      </c>
    </row>
    <row r="45">
      <c r="C45" s="6" t="n"/>
      <c r="D45" s="8" t="n"/>
      <c r="E45" s="8" t="n"/>
      <c r="F45" s="8" t="n"/>
      <c r="G45">
        <f>IF(AND(E45&lt;&gt;"",F45="",TODAY()&gt;E45),TODAY()-E45,"")</f>
        <v/>
      </c>
      <c r="H45" s="6">
        <f>IF(AND(C45&lt;&gt;"",F45=""),C45,0)</f>
        <v/>
      </c>
    </row>
    <row r="46">
      <c r="C46" s="6" t="n"/>
      <c r="D46" s="8" t="n"/>
      <c r="E46" s="8" t="n"/>
      <c r="F46" s="8" t="n"/>
      <c r="G46">
        <f>IF(AND(E46&lt;&gt;"",F46="",TODAY()&gt;E46),TODAY()-E46,"")</f>
        <v/>
      </c>
      <c r="H46" s="6">
        <f>IF(AND(C46&lt;&gt;"",F46=""),C46,0)</f>
        <v/>
      </c>
    </row>
    <row r="47">
      <c r="C47" s="6" t="n"/>
      <c r="D47" s="8" t="n"/>
      <c r="E47" s="8" t="n"/>
      <c r="F47" s="8" t="n"/>
      <c r="G47">
        <f>IF(AND(E47&lt;&gt;"",F47="",TODAY()&gt;E47),TODAY()-E47,"")</f>
        <v/>
      </c>
      <c r="H47" s="6">
        <f>IF(AND(C47&lt;&gt;"",F47=""),C47,0)</f>
        <v/>
      </c>
    </row>
    <row r="48">
      <c r="C48" s="6" t="n"/>
      <c r="D48" s="8" t="n"/>
      <c r="E48" s="8" t="n"/>
      <c r="F48" s="8" t="n"/>
      <c r="G48">
        <f>IF(AND(E48&lt;&gt;"",F48="",TODAY()&gt;E48),TODAY()-E48,"")</f>
        <v/>
      </c>
      <c r="H48" s="6">
        <f>IF(AND(C48&lt;&gt;"",F48=""),C48,0)</f>
        <v/>
      </c>
    </row>
    <row r="49">
      <c r="C49" s="6" t="n"/>
      <c r="D49" s="8" t="n"/>
      <c r="E49" s="8" t="n"/>
      <c r="F49" s="8" t="n"/>
      <c r="G49">
        <f>IF(AND(E49&lt;&gt;"",F49="",TODAY()&gt;E49),TODAY()-E49,"")</f>
        <v/>
      </c>
      <c r="H49" s="6">
        <f>IF(AND(C49&lt;&gt;"",F49=""),C49,0)</f>
        <v/>
      </c>
    </row>
    <row r="50">
      <c r="C50" s="6" t="n"/>
      <c r="D50" s="8" t="n"/>
      <c r="E50" s="8" t="n"/>
      <c r="F50" s="8" t="n"/>
      <c r="G50">
        <f>IF(AND(E50&lt;&gt;"",F50="",TODAY()&gt;E50),TODAY()-E50,"")</f>
        <v/>
      </c>
      <c r="H50" s="6">
        <f>IF(AND(C50&lt;&gt;"",F50=""),C50,0)</f>
        <v/>
      </c>
    </row>
    <row r="51">
      <c r="C51" s="6" t="n"/>
      <c r="D51" s="8" t="n"/>
      <c r="E51" s="8" t="n"/>
      <c r="F51" s="8" t="n"/>
      <c r="G51">
        <f>IF(AND(E51&lt;&gt;"",F51="",TODAY()&gt;E51),TODAY()-E51,"")</f>
        <v/>
      </c>
      <c r="H51" s="6">
        <f>IF(AND(C51&lt;&gt;"",F51=""),C51,0)</f>
        <v/>
      </c>
    </row>
    <row r="52">
      <c r="C52" s="6" t="n"/>
      <c r="D52" s="8" t="n"/>
      <c r="E52" s="8" t="n"/>
      <c r="F52" s="8" t="n"/>
      <c r="G52">
        <f>IF(AND(E52&lt;&gt;"",F52="",TODAY()&gt;E52),TODAY()-E52,"")</f>
        <v/>
      </c>
      <c r="H52" s="6">
        <f>IF(AND(C52&lt;&gt;"",F52=""),C52,0)</f>
        <v/>
      </c>
    </row>
    <row r="53">
      <c r="C53" s="6" t="n"/>
      <c r="D53" s="8" t="n"/>
      <c r="E53" s="8" t="n"/>
      <c r="F53" s="8" t="n"/>
      <c r="G53">
        <f>IF(AND(E53&lt;&gt;"",F53="",TODAY()&gt;E53),TODAY()-E53,"")</f>
        <v/>
      </c>
      <c r="H53" s="6">
        <f>IF(AND(C53&lt;&gt;"",F53=""),C53,0)</f>
        <v/>
      </c>
    </row>
    <row r="54">
      <c r="C54" s="6" t="n"/>
      <c r="D54" s="8" t="n"/>
      <c r="E54" s="8" t="n"/>
      <c r="F54" s="8" t="n"/>
      <c r="G54">
        <f>IF(AND(E54&lt;&gt;"",F54="",TODAY()&gt;E54),TODAY()-E54,"")</f>
        <v/>
      </c>
      <c r="H54" s="6">
        <f>IF(AND(C54&lt;&gt;"",F54=""),C54,0)</f>
        <v/>
      </c>
    </row>
    <row r="55">
      <c r="C55" s="6" t="n"/>
      <c r="D55" s="8" t="n"/>
      <c r="E55" s="8" t="n"/>
      <c r="F55" s="8" t="n"/>
      <c r="G55">
        <f>IF(AND(E55&lt;&gt;"",F55="",TODAY()&gt;E55),TODAY()-E55,"")</f>
        <v/>
      </c>
      <c r="H55" s="6">
        <f>IF(AND(C55&lt;&gt;"",F55=""),C55,0)</f>
        <v/>
      </c>
    </row>
    <row r="56">
      <c r="C56" s="6" t="n"/>
      <c r="D56" s="8" t="n"/>
      <c r="E56" s="8" t="n"/>
      <c r="F56" s="8" t="n"/>
      <c r="G56">
        <f>IF(AND(E56&lt;&gt;"",F56="",TODAY()&gt;E56),TODAY()-E56,"")</f>
        <v/>
      </c>
      <c r="H56" s="6">
        <f>IF(AND(C56&lt;&gt;"",F56=""),C56,0)</f>
        <v/>
      </c>
    </row>
    <row r="57">
      <c r="C57" s="6" t="n"/>
      <c r="D57" s="8" t="n"/>
      <c r="E57" s="8" t="n"/>
      <c r="F57" s="8" t="n"/>
      <c r="G57">
        <f>IF(AND(E57&lt;&gt;"",F57="",TODAY()&gt;E57),TODAY()-E57,"")</f>
        <v/>
      </c>
      <c r="H57" s="6">
        <f>IF(AND(C57&lt;&gt;"",F57=""),C57,0)</f>
        <v/>
      </c>
    </row>
    <row r="58">
      <c r="C58" s="6" t="n"/>
      <c r="D58" s="8" t="n"/>
      <c r="E58" s="8" t="n"/>
      <c r="F58" s="8" t="n"/>
      <c r="G58">
        <f>IF(AND(E58&lt;&gt;"",F58="",TODAY()&gt;E58),TODAY()-E58,"")</f>
        <v/>
      </c>
      <c r="H58" s="6">
        <f>IF(AND(C58&lt;&gt;"",F58=""),C58,0)</f>
        <v/>
      </c>
    </row>
    <row r="59">
      <c r="C59" s="6" t="n"/>
      <c r="D59" s="8" t="n"/>
      <c r="E59" s="8" t="n"/>
      <c r="F59" s="8" t="n"/>
      <c r="G59">
        <f>IF(AND(E59&lt;&gt;"",F59="",TODAY()&gt;E59),TODAY()-E59,"")</f>
        <v/>
      </c>
      <c r="H59" s="6">
        <f>IF(AND(C59&lt;&gt;"",F59=""),C59,0)</f>
        <v/>
      </c>
    </row>
    <row r="60">
      <c r="C60" s="6" t="n"/>
      <c r="D60" s="8" t="n"/>
      <c r="E60" s="8" t="n"/>
      <c r="F60" s="8" t="n"/>
      <c r="G60">
        <f>IF(AND(E60&lt;&gt;"",F60="",TODAY()&gt;E60),TODAY()-E60,"")</f>
        <v/>
      </c>
      <c r="H60" s="6">
        <f>IF(AND(C60&lt;&gt;"",F60=""),C60,0)</f>
        <v/>
      </c>
    </row>
    <row r="61">
      <c r="C61" s="6" t="n"/>
      <c r="D61" s="8" t="n"/>
      <c r="E61" s="8" t="n"/>
      <c r="F61" s="8" t="n"/>
      <c r="G61">
        <f>IF(AND(E61&lt;&gt;"",F61="",TODAY()&gt;E61),TODAY()-E61,"")</f>
        <v/>
      </c>
      <c r="H61" s="6">
        <f>IF(AND(C61&lt;&gt;"",F61=""),C61,0)</f>
        <v/>
      </c>
    </row>
    <row r="62">
      <c r="C62" s="6" t="n"/>
      <c r="D62" s="8" t="n"/>
      <c r="E62" s="8" t="n"/>
      <c r="F62" s="8" t="n"/>
      <c r="G62">
        <f>IF(AND(E62&lt;&gt;"",F62="",TODAY()&gt;E62),TODAY()-E62,"")</f>
        <v/>
      </c>
      <c r="H62" s="6">
        <f>IF(AND(C62&lt;&gt;"",F62=""),C62,0)</f>
        <v/>
      </c>
    </row>
    <row r="63">
      <c r="C63" s="6" t="n"/>
      <c r="D63" s="8" t="n"/>
      <c r="E63" s="8" t="n"/>
      <c r="F63" s="8" t="n"/>
      <c r="G63">
        <f>IF(AND(E63&lt;&gt;"",F63="",TODAY()&gt;E63),TODAY()-E63,"")</f>
        <v/>
      </c>
      <c r="H63" s="6">
        <f>IF(AND(C63&lt;&gt;"",F63=""),C63,0)</f>
        <v/>
      </c>
    </row>
    <row r="64">
      <c r="C64" s="6" t="n"/>
      <c r="D64" s="8" t="n"/>
      <c r="E64" s="8" t="n"/>
      <c r="F64" s="8" t="n"/>
      <c r="G64">
        <f>IF(AND(E64&lt;&gt;"",F64="",TODAY()&gt;E64),TODAY()-E64,"")</f>
        <v/>
      </c>
      <c r="H64" s="6">
        <f>IF(AND(C64&lt;&gt;"",F64=""),C64,0)</f>
        <v/>
      </c>
    </row>
    <row r="65">
      <c r="C65" s="6" t="n"/>
      <c r="D65" s="8" t="n"/>
      <c r="E65" s="8" t="n"/>
      <c r="F65" s="8" t="n"/>
      <c r="G65">
        <f>IF(AND(E65&lt;&gt;"",F65="",TODAY()&gt;E65),TODAY()-E65,"")</f>
        <v/>
      </c>
      <c r="H65" s="6">
        <f>IF(AND(C65&lt;&gt;"",F65=""),C65,0)</f>
        <v/>
      </c>
    </row>
    <row r="66">
      <c r="C66" s="6" t="n"/>
      <c r="D66" s="8" t="n"/>
      <c r="E66" s="8" t="n"/>
      <c r="F66" s="8" t="n"/>
      <c r="G66">
        <f>IF(AND(E66&lt;&gt;"",F66="",TODAY()&gt;E66),TODAY()-E66,"")</f>
        <v/>
      </c>
      <c r="H66" s="6">
        <f>IF(AND(C66&lt;&gt;"",F66=""),C66,0)</f>
        <v/>
      </c>
    </row>
    <row r="67">
      <c r="C67" s="6" t="n"/>
      <c r="D67" s="8" t="n"/>
      <c r="E67" s="8" t="n"/>
      <c r="F67" s="8" t="n"/>
      <c r="G67">
        <f>IF(AND(E67&lt;&gt;"",F67="",TODAY()&gt;E67),TODAY()-E67,"")</f>
        <v/>
      </c>
      <c r="H67" s="6">
        <f>IF(AND(C67&lt;&gt;"",F67=""),C67,0)</f>
        <v/>
      </c>
    </row>
    <row r="68">
      <c r="C68" s="6" t="n"/>
      <c r="D68" s="8" t="n"/>
      <c r="E68" s="8" t="n"/>
      <c r="F68" s="8" t="n"/>
      <c r="G68">
        <f>IF(AND(E68&lt;&gt;"",F68="",TODAY()&gt;E68),TODAY()-E68,"")</f>
        <v/>
      </c>
      <c r="H68" s="6">
        <f>IF(AND(C68&lt;&gt;"",F68=""),C68,0)</f>
        <v/>
      </c>
    </row>
    <row r="69">
      <c r="C69" s="6" t="n"/>
      <c r="D69" s="8" t="n"/>
      <c r="E69" s="8" t="n"/>
      <c r="F69" s="8" t="n"/>
      <c r="G69">
        <f>IF(AND(E69&lt;&gt;"",F69="",TODAY()&gt;E69),TODAY()-E69,"")</f>
        <v/>
      </c>
      <c r="H69" s="6">
        <f>IF(AND(C69&lt;&gt;"",F69=""),C69,0)</f>
        <v/>
      </c>
    </row>
    <row r="70">
      <c r="C70" s="6" t="n"/>
      <c r="D70" s="8" t="n"/>
      <c r="E70" s="8" t="n"/>
      <c r="F70" s="8" t="n"/>
      <c r="G70">
        <f>IF(AND(E70&lt;&gt;"",F70="",TODAY()&gt;E70),TODAY()-E70,"")</f>
        <v/>
      </c>
      <c r="H70" s="6">
        <f>IF(AND(C70&lt;&gt;"",F70=""),C70,0)</f>
        <v/>
      </c>
    </row>
    <row r="71">
      <c r="C71" s="6" t="n"/>
      <c r="D71" s="8" t="n"/>
      <c r="E71" s="8" t="n"/>
      <c r="F71" s="8" t="n"/>
      <c r="G71">
        <f>IF(AND(E71&lt;&gt;"",F71="",TODAY()&gt;E71),TODAY()-E71,"")</f>
        <v/>
      </c>
      <c r="H71" s="6">
        <f>IF(AND(C71&lt;&gt;"",F71=""),C71,0)</f>
        <v/>
      </c>
    </row>
    <row r="72">
      <c r="C72" s="6" t="n"/>
      <c r="D72" s="8" t="n"/>
      <c r="E72" s="8" t="n"/>
      <c r="F72" s="8" t="n"/>
      <c r="G72">
        <f>IF(AND(E72&lt;&gt;"",F72="",TODAY()&gt;E72),TODAY()-E72,"")</f>
        <v/>
      </c>
      <c r="H72" s="6">
        <f>IF(AND(C72&lt;&gt;"",F72=""),C72,0)</f>
        <v/>
      </c>
    </row>
    <row r="73">
      <c r="C73" s="6" t="n"/>
      <c r="D73" s="8" t="n"/>
      <c r="E73" s="8" t="n"/>
      <c r="F73" s="8" t="n"/>
      <c r="G73">
        <f>IF(AND(E73&lt;&gt;"",F73="",TODAY()&gt;E73),TODAY()-E73,"")</f>
        <v/>
      </c>
      <c r="H73" s="6">
        <f>IF(AND(C73&lt;&gt;"",F73=""),C73,0)</f>
        <v/>
      </c>
    </row>
    <row r="74">
      <c r="C74" s="6" t="n"/>
      <c r="D74" s="8" t="n"/>
      <c r="E74" s="8" t="n"/>
      <c r="F74" s="8" t="n"/>
      <c r="G74">
        <f>IF(AND(E74&lt;&gt;"",F74="",TODAY()&gt;E74),TODAY()-E74,"")</f>
        <v/>
      </c>
      <c r="H74" s="6">
        <f>IF(AND(C74&lt;&gt;"",F74=""),C74,0)</f>
        <v/>
      </c>
    </row>
    <row r="75">
      <c r="C75" s="6" t="n"/>
      <c r="D75" s="8" t="n"/>
      <c r="E75" s="8" t="n"/>
      <c r="F75" s="8" t="n"/>
      <c r="G75">
        <f>IF(AND(E75&lt;&gt;"",F75="",TODAY()&gt;E75),TODAY()-E75,"")</f>
        <v/>
      </c>
      <c r="H75" s="6">
        <f>IF(AND(C75&lt;&gt;"",F75=""),C75,0)</f>
        <v/>
      </c>
    </row>
    <row r="76">
      <c r="C76" s="6" t="n"/>
      <c r="D76" s="8" t="n"/>
      <c r="E76" s="8" t="n"/>
      <c r="F76" s="8" t="n"/>
      <c r="G76">
        <f>IF(AND(E76&lt;&gt;"",F76="",TODAY()&gt;E76),TODAY()-E76,"")</f>
        <v/>
      </c>
      <c r="H76" s="6">
        <f>IF(AND(C76&lt;&gt;"",F76=""),C76,0)</f>
        <v/>
      </c>
    </row>
    <row r="77">
      <c r="C77" s="6" t="n"/>
      <c r="D77" s="8" t="n"/>
      <c r="E77" s="8" t="n"/>
      <c r="F77" s="8" t="n"/>
      <c r="G77">
        <f>IF(AND(E77&lt;&gt;"",F77="",TODAY()&gt;E77),TODAY()-E77,"")</f>
        <v/>
      </c>
      <c r="H77" s="6">
        <f>IF(AND(C77&lt;&gt;"",F77=""),C77,0)</f>
        <v/>
      </c>
    </row>
    <row r="78">
      <c r="C78" s="6" t="n"/>
      <c r="D78" s="8" t="n"/>
      <c r="E78" s="8" t="n"/>
      <c r="F78" s="8" t="n"/>
      <c r="G78">
        <f>IF(AND(E78&lt;&gt;"",F78="",TODAY()&gt;E78),TODAY()-E78,"")</f>
        <v/>
      </c>
      <c r="H78" s="6">
        <f>IF(AND(C78&lt;&gt;"",F78=""),C78,0)</f>
        <v/>
      </c>
    </row>
    <row r="79">
      <c r="C79" s="6" t="n"/>
      <c r="D79" s="8" t="n"/>
      <c r="E79" s="8" t="n"/>
      <c r="F79" s="8" t="n"/>
      <c r="G79">
        <f>IF(AND(E79&lt;&gt;"",F79="",TODAY()&gt;E79),TODAY()-E79,"")</f>
        <v/>
      </c>
      <c r="H79" s="6">
        <f>IF(AND(C79&lt;&gt;"",F79=""),C79,0)</f>
        <v/>
      </c>
    </row>
    <row r="80">
      <c r="C80" s="6" t="n"/>
      <c r="D80" s="8" t="n"/>
      <c r="E80" s="8" t="n"/>
      <c r="F80" s="8" t="n"/>
      <c r="G80">
        <f>IF(AND(E80&lt;&gt;"",F80="",TODAY()&gt;E80),TODAY()-E80,"")</f>
        <v/>
      </c>
      <c r="H80" s="6">
        <f>IF(AND(C80&lt;&gt;"",F80=""),C80,0)</f>
        <v/>
      </c>
    </row>
    <row r="81">
      <c r="C81" s="6" t="n"/>
      <c r="D81" s="8" t="n"/>
      <c r="E81" s="8" t="n"/>
      <c r="F81" s="8" t="n"/>
      <c r="G81">
        <f>IF(AND(E81&lt;&gt;"",F81="",TODAY()&gt;E81),TODAY()-E81,"")</f>
        <v/>
      </c>
      <c r="H81" s="6">
        <f>IF(AND(C81&lt;&gt;"",F81=""),C81,0)</f>
        <v/>
      </c>
    </row>
    <row r="82">
      <c r="C82" s="6" t="n"/>
      <c r="D82" s="8" t="n"/>
      <c r="E82" s="8" t="n"/>
      <c r="F82" s="8" t="n"/>
      <c r="G82">
        <f>IF(AND(E82&lt;&gt;"",F82="",TODAY()&gt;E82),TODAY()-E82,"")</f>
        <v/>
      </c>
      <c r="H82" s="6">
        <f>IF(AND(C82&lt;&gt;"",F82=""),C82,0)</f>
        <v/>
      </c>
    </row>
    <row r="83">
      <c r="C83" s="6" t="n"/>
      <c r="D83" s="8" t="n"/>
      <c r="E83" s="8" t="n"/>
      <c r="F83" s="8" t="n"/>
      <c r="G83">
        <f>IF(AND(E83&lt;&gt;"",F83="",TODAY()&gt;E83),TODAY()-E83,"")</f>
        <v/>
      </c>
      <c r="H83" s="6">
        <f>IF(AND(C83&lt;&gt;"",F83=""),C83,0)</f>
        <v/>
      </c>
    </row>
    <row r="84">
      <c r="C84" s="6" t="n"/>
      <c r="D84" s="8" t="n"/>
      <c r="E84" s="8" t="n"/>
      <c r="F84" s="8" t="n"/>
      <c r="G84">
        <f>IF(AND(E84&lt;&gt;"",F84="",TODAY()&gt;E84),TODAY()-E84,"")</f>
        <v/>
      </c>
      <c r="H84" s="6">
        <f>IF(AND(C84&lt;&gt;"",F84=""),C84,0)</f>
        <v/>
      </c>
    </row>
    <row r="85">
      <c r="C85" s="6" t="n"/>
      <c r="D85" s="8" t="n"/>
      <c r="E85" s="8" t="n"/>
      <c r="F85" s="8" t="n"/>
      <c r="G85">
        <f>IF(AND(E85&lt;&gt;"",F85="",TODAY()&gt;E85),TODAY()-E85,"")</f>
        <v/>
      </c>
      <c r="H85" s="6">
        <f>IF(AND(C85&lt;&gt;"",F85=""),C85,0)</f>
        <v/>
      </c>
    </row>
    <row r="86">
      <c r="C86" s="6" t="n"/>
      <c r="D86" s="8" t="n"/>
      <c r="E86" s="8" t="n"/>
      <c r="F86" s="8" t="n"/>
      <c r="G86">
        <f>IF(AND(E86&lt;&gt;"",F86="",TODAY()&gt;E86),TODAY()-E86,"")</f>
        <v/>
      </c>
      <c r="H86" s="6">
        <f>IF(AND(C86&lt;&gt;"",F86=""),C86,0)</f>
        <v/>
      </c>
    </row>
    <row r="87">
      <c r="C87" s="6" t="n"/>
      <c r="D87" s="8" t="n"/>
      <c r="E87" s="8" t="n"/>
      <c r="F87" s="8" t="n"/>
      <c r="G87">
        <f>IF(AND(E87&lt;&gt;"",F87="",TODAY()&gt;E87),TODAY()-E87,"")</f>
        <v/>
      </c>
      <c r="H87" s="6">
        <f>IF(AND(C87&lt;&gt;"",F87=""),C87,0)</f>
        <v/>
      </c>
    </row>
    <row r="88">
      <c r="C88" s="6" t="n"/>
      <c r="D88" s="8" t="n"/>
      <c r="E88" s="8" t="n"/>
      <c r="F88" s="8" t="n"/>
      <c r="G88">
        <f>IF(AND(E88&lt;&gt;"",F88="",TODAY()&gt;E88),TODAY()-E88,"")</f>
        <v/>
      </c>
      <c r="H88" s="6">
        <f>IF(AND(C88&lt;&gt;"",F88=""),C88,0)</f>
        <v/>
      </c>
    </row>
    <row r="89">
      <c r="C89" s="6" t="n"/>
      <c r="D89" s="8" t="n"/>
      <c r="E89" s="8" t="n"/>
      <c r="F89" s="8" t="n"/>
      <c r="G89">
        <f>IF(AND(E89&lt;&gt;"",F89="",TODAY()&gt;E89),TODAY()-E89,"")</f>
        <v/>
      </c>
      <c r="H89" s="6">
        <f>IF(AND(C89&lt;&gt;"",F89=""),C89,0)</f>
        <v/>
      </c>
    </row>
    <row r="90">
      <c r="C90" s="6" t="n"/>
      <c r="D90" s="8" t="n"/>
      <c r="E90" s="8" t="n"/>
      <c r="F90" s="8" t="n"/>
      <c r="G90">
        <f>IF(AND(E90&lt;&gt;"",F90="",TODAY()&gt;E90),TODAY()-E90,"")</f>
        <v/>
      </c>
      <c r="H90" s="6">
        <f>IF(AND(C90&lt;&gt;"",F90=""),C90,0)</f>
        <v/>
      </c>
    </row>
    <row r="91">
      <c r="C91" s="6" t="n"/>
      <c r="D91" s="8" t="n"/>
      <c r="E91" s="8" t="n"/>
      <c r="F91" s="8" t="n"/>
      <c r="G91">
        <f>IF(AND(E91&lt;&gt;"",F91="",TODAY()&gt;E91),TODAY()-E91,"")</f>
        <v/>
      </c>
      <c r="H91" s="6">
        <f>IF(AND(C91&lt;&gt;"",F91=""),C91,0)</f>
        <v/>
      </c>
    </row>
    <row r="92">
      <c r="C92" s="6" t="n"/>
      <c r="D92" s="8" t="n"/>
      <c r="E92" s="8" t="n"/>
      <c r="F92" s="8" t="n"/>
      <c r="G92">
        <f>IF(AND(E92&lt;&gt;"",F92="",TODAY()&gt;E92),TODAY()-E92,"")</f>
        <v/>
      </c>
      <c r="H92" s="6">
        <f>IF(AND(C92&lt;&gt;"",F92=""),C92,0)</f>
        <v/>
      </c>
    </row>
    <row r="93">
      <c r="C93" s="6" t="n"/>
      <c r="D93" s="8" t="n"/>
      <c r="E93" s="8" t="n"/>
      <c r="F93" s="8" t="n"/>
      <c r="G93">
        <f>IF(AND(E93&lt;&gt;"",F93="",TODAY()&gt;E93),TODAY()-E93,"")</f>
        <v/>
      </c>
      <c r="H93" s="6">
        <f>IF(AND(C93&lt;&gt;"",F93=""),C93,0)</f>
        <v/>
      </c>
    </row>
    <row r="94">
      <c r="C94" s="6" t="n"/>
      <c r="D94" s="8" t="n"/>
      <c r="E94" s="8" t="n"/>
      <c r="F94" s="8" t="n"/>
      <c r="G94">
        <f>IF(AND(E94&lt;&gt;"",F94="",TODAY()&gt;E94),TODAY()-E94,"")</f>
        <v/>
      </c>
      <c r="H94" s="6">
        <f>IF(AND(C94&lt;&gt;"",F94=""),C94,0)</f>
        <v/>
      </c>
    </row>
    <row r="95">
      <c r="C95" s="6" t="n"/>
      <c r="D95" s="8" t="n"/>
      <c r="E95" s="8" t="n"/>
      <c r="F95" s="8" t="n"/>
      <c r="G95">
        <f>IF(AND(E95&lt;&gt;"",F95="",TODAY()&gt;E95),TODAY()-E95,"")</f>
        <v/>
      </c>
      <c r="H95" s="6">
        <f>IF(AND(C95&lt;&gt;"",F95=""),C95,0)</f>
        <v/>
      </c>
    </row>
    <row r="96">
      <c r="C96" s="6" t="n"/>
      <c r="D96" s="8" t="n"/>
      <c r="E96" s="8" t="n"/>
      <c r="F96" s="8" t="n"/>
      <c r="G96">
        <f>IF(AND(E96&lt;&gt;"",F96="",TODAY()&gt;E96),TODAY()-E96,"")</f>
        <v/>
      </c>
      <c r="H96" s="6">
        <f>IF(AND(C96&lt;&gt;"",F96=""),C96,0)</f>
        <v/>
      </c>
    </row>
    <row r="97">
      <c r="C97" s="6" t="n"/>
      <c r="D97" s="8" t="n"/>
      <c r="E97" s="8" t="n"/>
      <c r="F97" s="8" t="n"/>
      <c r="G97">
        <f>IF(AND(E97&lt;&gt;"",F97="",TODAY()&gt;E97),TODAY()-E97,"")</f>
        <v/>
      </c>
      <c r="H97" s="6">
        <f>IF(AND(C97&lt;&gt;"",F97=""),C97,0)</f>
        <v/>
      </c>
    </row>
    <row r="98">
      <c r="C98" s="6" t="n"/>
      <c r="D98" s="8" t="n"/>
      <c r="E98" s="8" t="n"/>
      <c r="F98" s="8" t="n"/>
      <c r="G98">
        <f>IF(AND(E98&lt;&gt;"",F98="",TODAY()&gt;E98),TODAY()-E98,"")</f>
        <v/>
      </c>
      <c r="H98" s="6">
        <f>IF(AND(C98&lt;&gt;"",F98=""),C98,0)</f>
        <v/>
      </c>
    </row>
    <row r="99">
      <c r="C99" s="6" t="n"/>
      <c r="D99" s="8" t="n"/>
      <c r="E99" s="8" t="n"/>
      <c r="F99" s="8" t="n"/>
      <c r="G99">
        <f>IF(AND(E99&lt;&gt;"",F99="",TODAY()&gt;E99),TODAY()-E99,"")</f>
        <v/>
      </c>
      <c r="H99" s="6">
        <f>IF(AND(C99&lt;&gt;"",F99=""),C99,0)</f>
        <v/>
      </c>
    </row>
    <row r="100">
      <c r="C100" s="6" t="n"/>
      <c r="D100" s="8" t="n"/>
      <c r="E100" s="8" t="n"/>
      <c r="F100" s="8" t="n"/>
      <c r="G100">
        <f>IF(AND(E100&lt;&gt;"",F100="",TODAY()&gt;E100),TODAY()-E100,"")</f>
        <v/>
      </c>
      <c r="H100" s="6">
        <f>IF(AND(C100&lt;&gt;"",F100=""),C100,0)</f>
        <v/>
      </c>
    </row>
    <row r="101">
      <c r="C101" s="6" t="n"/>
      <c r="D101" s="8" t="n"/>
      <c r="E101" s="8" t="n"/>
      <c r="F101" s="8" t="n"/>
      <c r="G101">
        <f>IF(AND(E101&lt;&gt;"",F101="",TODAY()&gt;E101),TODAY()-E101,"")</f>
        <v/>
      </c>
      <c r="H101" s="6">
        <f>IF(AND(C101&lt;&gt;"",F101=""),C101,0)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2026-10-11T16:42:00Z</dcterms:created>
  <dcterms:modified xmlns:dcterms="http://purl.org/dc/terms/" xmlns:xsi="http://www.w3.org/2001/XMLSchema-instance" xsi:type="dcterms:W3CDTF">2026-10-11T16:42:00Z</dcterms:modified>
</cp:coreProperties>
</file>