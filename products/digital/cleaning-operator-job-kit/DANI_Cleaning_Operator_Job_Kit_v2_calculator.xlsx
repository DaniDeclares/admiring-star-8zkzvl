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Job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80002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7F1E6"/>
      </patternFill>
    </fill>
    <fill>
      <patternFill patternType="solid">
        <fgColor rgb="00800020"/>
      </patternFill>
    </fill>
  </fills>
  <borders count="2">
    <border>
      <left/>
      <right/>
      <top/>
      <bottom/>
      <diagonal/>
    </border>
    <border>
      <left style="thin">
        <color rgb="00E8D5B0"/>
      </left>
      <right style="thin">
        <color rgb="00E8D5B0"/>
      </right>
      <top style="thin">
        <color rgb="00E8D5B0"/>
      </top>
      <bottom style="thin">
        <color rgb="00E8D5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Cleaning Operator Job Kit: Pricing and profit check</t>
        </is>
      </c>
    </row>
    <row r="2">
      <c r="A2" t="inlineStr">
        <is>
          <t>Type in the shaded cells. Other cells calculate. Example values are an illustration, not a recommended price or rate.</t>
        </is>
      </c>
    </row>
    <row r="4">
      <c r="A4" s="2" t="inlineStr">
        <is>
          <t>Estimated labor hours</t>
        </is>
      </c>
      <c r="B4" s="3" t="n">
        <v>3.5</v>
      </c>
    </row>
    <row r="5">
      <c r="A5" s="2" t="inlineStr">
        <is>
          <t>Hourly labor cost</t>
        </is>
      </c>
      <c r="B5" s="4" t="n">
        <v>22</v>
      </c>
    </row>
    <row r="6">
      <c r="A6" s="2" t="inlineStr">
        <is>
          <t>Supplies and consumables</t>
        </is>
      </c>
      <c r="B6" s="4" t="n">
        <v>9</v>
      </c>
    </row>
    <row r="7">
      <c r="A7" s="2" t="inlineStr">
        <is>
          <t>Travel miles (round trip)</t>
        </is>
      </c>
      <c r="B7" s="3" t="n">
        <v>14</v>
      </c>
    </row>
    <row r="8">
      <c r="A8" s="2" t="inlineStr">
        <is>
          <t>Mileage rate</t>
        </is>
      </c>
      <c r="B8" s="4" t="n">
        <v>0.67</v>
      </c>
    </row>
    <row r="9">
      <c r="A9" s="2" t="inlineStr">
        <is>
          <t>Other costs</t>
        </is>
      </c>
      <c r="B9" s="4" t="n">
        <v>0</v>
      </c>
    </row>
    <row r="10">
      <c r="A10" s="2" t="inlineStr">
        <is>
          <t>Quoted price to customer</t>
        </is>
      </c>
      <c r="B10" s="4" t="n">
        <v>140</v>
      </c>
    </row>
    <row r="11">
      <c r="A11" s="2" t="inlineStr">
        <is>
          <t>Margin target (%)</t>
        </is>
      </c>
      <c r="B11" s="3" t="n">
        <v>30</v>
      </c>
    </row>
    <row r="13">
      <c r="A13" s="2" t="inlineStr">
        <is>
          <t>Labor cost</t>
        </is>
      </c>
      <c r="B13" s="5">
        <f>B4*B5</f>
        <v/>
      </c>
    </row>
    <row r="14">
      <c r="A14" s="2" t="inlineStr">
        <is>
          <t>Travel cost</t>
        </is>
      </c>
      <c r="B14" s="5">
        <f>B7*B8</f>
        <v/>
      </c>
    </row>
    <row r="15">
      <c r="A15" s="2" t="inlineStr">
        <is>
          <t>Total cost</t>
        </is>
      </c>
      <c r="B15" s="5">
        <f>B13+B14+B6+B9</f>
        <v/>
      </c>
    </row>
    <row r="16">
      <c r="A16" s="2" t="inlineStr">
        <is>
          <t>Profit</t>
        </is>
      </c>
      <c r="B16" s="5">
        <f>B10-B15</f>
        <v/>
      </c>
    </row>
    <row r="17">
      <c r="A17" s="2" t="inlineStr">
        <is>
          <t>Margin (%)</t>
        </is>
      </c>
      <c r="B17" s="6">
        <f>IF(B10&gt;0,B16/B10*100,"enter a price")</f>
        <v/>
      </c>
    </row>
    <row r="18">
      <c r="A18" s="2" t="inlineStr">
        <is>
          <t>Decision</t>
        </is>
      </c>
      <c r="B18">
        <f>IF(B10&lt;=0,"enter a price",IF(B17&gt;=B11,"Meets target: go ahead","Below target: re-scope or re-price"))</f>
        <v/>
      </c>
    </row>
    <row r="19">
      <c r="A19" s="2" t="inlineStr">
        <is>
          <t>Minimum price for your target</t>
        </is>
      </c>
      <c r="B19" s="5">
        <f>IF(B11&lt;100,B15/(1-B11/100),"target must be under 100")</f>
        <v/>
      </c>
    </row>
    <row r="21">
      <c r="A21" t="inlineStr">
        <is>
          <t>Not legal, tax or professional advice. Original planning template, licensed for one purchasing business or household.</t>
        </is>
      </c>
    </row>
  </sheetData>
  <dataValidations count="1">
    <dataValidation sqref="B4 B5 B6 B7 B8 B9 B10 B11" showDropDown="0" showInputMessage="0" showErrorMessage="1" allowBlank="0" errorTitle="Check the number" error="Enter a number of 0 or more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</cols>
  <sheetData>
    <row r="1">
      <c r="A1" s="7" t="inlineStr">
        <is>
          <t>Job ID</t>
        </is>
      </c>
      <c r="B1" s="7" t="inlineStr">
        <is>
          <t>Date</t>
        </is>
      </c>
      <c r="C1" s="7" t="inlineStr">
        <is>
          <t>Estimated hours</t>
        </is>
      </c>
      <c r="D1" s="7" t="inlineStr">
        <is>
          <t>Actual hours</t>
        </is>
      </c>
      <c r="E1" s="7" t="inlineStr">
        <is>
          <t>Quoted price</t>
        </is>
      </c>
      <c r="F1" s="7" t="inlineStr">
        <is>
          <t>Actual supplies</t>
        </is>
      </c>
      <c r="G1" s="7" t="inlineStr">
        <is>
          <t>Actual travel</t>
        </is>
      </c>
      <c r="H1" s="7" t="inlineStr">
        <is>
          <t>Labor rate</t>
        </is>
      </c>
      <c r="I1" s="7" t="inlineStr">
        <is>
          <t>Profit</t>
        </is>
      </c>
      <c r="J1" s="7" t="inlineStr">
        <is>
          <t>Hours variance</t>
        </is>
      </c>
      <c r="K1" s="7" t="inlineStr">
        <is>
          <t>Notes</t>
        </is>
      </c>
    </row>
    <row r="2">
      <c r="E2" s="5" t="n"/>
      <c r="F2" s="5" t="n"/>
      <c r="G2" s="5" t="n"/>
      <c r="H2" s="5" t="n"/>
      <c r="I2" s="5">
        <f>IF(E2="","",E2-(D2*H2+F2+G2))</f>
        <v/>
      </c>
      <c r="J2">
        <f>IF(OR(C2="",D2=""),"",D2-C2)</f>
        <v/>
      </c>
    </row>
    <row r="3">
      <c r="E3" s="5" t="n"/>
      <c r="F3" s="5" t="n"/>
      <c r="G3" s="5" t="n"/>
      <c r="H3" s="5" t="n"/>
      <c r="I3" s="5">
        <f>IF(E3="","",E3-(D3*H3+F3+G3))</f>
        <v/>
      </c>
      <c r="J3">
        <f>IF(OR(C3="",D3=""),"",D3-C3)</f>
        <v/>
      </c>
    </row>
    <row r="4">
      <c r="E4" s="5" t="n"/>
      <c r="F4" s="5" t="n"/>
      <c r="G4" s="5" t="n"/>
      <c r="H4" s="5" t="n"/>
      <c r="I4" s="5">
        <f>IF(E4="","",E4-(D4*H4+F4+G4))</f>
        <v/>
      </c>
      <c r="J4">
        <f>IF(OR(C4="",D4=""),"",D4-C4)</f>
        <v/>
      </c>
    </row>
    <row r="5">
      <c r="E5" s="5" t="n"/>
      <c r="F5" s="5" t="n"/>
      <c r="G5" s="5" t="n"/>
      <c r="H5" s="5" t="n"/>
      <c r="I5" s="5">
        <f>IF(E5="","",E5-(D5*H5+F5+G5))</f>
        <v/>
      </c>
      <c r="J5">
        <f>IF(OR(C5="",D5=""),"",D5-C5)</f>
        <v/>
      </c>
    </row>
    <row r="6">
      <c r="E6" s="5" t="n"/>
      <c r="F6" s="5" t="n"/>
      <c r="G6" s="5" t="n"/>
      <c r="H6" s="5" t="n"/>
      <c r="I6" s="5">
        <f>IF(E6="","",E6-(D6*H6+F6+G6))</f>
        <v/>
      </c>
      <c r="J6">
        <f>IF(OR(C6="",D6=""),"",D6-C6)</f>
        <v/>
      </c>
    </row>
    <row r="7">
      <c r="E7" s="5" t="n"/>
      <c r="F7" s="5" t="n"/>
      <c r="G7" s="5" t="n"/>
      <c r="H7" s="5" t="n"/>
      <c r="I7" s="5">
        <f>IF(E7="","",E7-(D7*H7+F7+G7))</f>
        <v/>
      </c>
      <c r="J7">
        <f>IF(OR(C7="",D7=""),"",D7-C7)</f>
        <v/>
      </c>
    </row>
    <row r="8">
      <c r="E8" s="5" t="n"/>
      <c r="F8" s="5" t="n"/>
      <c r="G8" s="5" t="n"/>
      <c r="H8" s="5" t="n"/>
      <c r="I8" s="5">
        <f>IF(E8="","",E8-(D8*H8+F8+G8))</f>
        <v/>
      </c>
      <c r="J8">
        <f>IF(OR(C8="",D8=""),"",D8-C8)</f>
        <v/>
      </c>
    </row>
    <row r="9">
      <c r="E9" s="5" t="n"/>
      <c r="F9" s="5" t="n"/>
      <c r="G9" s="5" t="n"/>
      <c r="H9" s="5" t="n"/>
      <c r="I9" s="5">
        <f>IF(E9="","",E9-(D9*H9+F9+G9))</f>
        <v/>
      </c>
      <c r="J9">
        <f>IF(OR(C9="",D9=""),"",D9-C9)</f>
        <v/>
      </c>
    </row>
    <row r="10">
      <c r="E10" s="5" t="n"/>
      <c r="F10" s="5" t="n"/>
      <c r="G10" s="5" t="n"/>
      <c r="H10" s="5" t="n"/>
      <c r="I10" s="5">
        <f>IF(E10="","",E10-(D10*H10+F10+G10))</f>
        <v/>
      </c>
      <c r="J10">
        <f>IF(OR(C10="",D10=""),"",D10-C10)</f>
        <v/>
      </c>
    </row>
    <row r="11">
      <c r="E11" s="5" t="n"/>
      <c r="F11" s="5" t="n"/>
      <c r="G11" s="5" t="n"/>
      <c r="H11" s="5" t="n"/>
      <c r="I11" s="5">
        <f>IF(E11="","",E11-(D11*H11+F11+G11))</f>
        <v/>
      </c>
      <c r="J11">
        <f>IF(OR(C11="",D11=""),"",D11-C11)</f>
        <v/>
      </c>
    </row>
    <row r="12">
      <c r="E12" s="5" t="n"/>
      <c r="F12" s="5" t="n"/>
      <c r="G12" s="5" t="n"/>
      <c r="H12" s="5" t="n"/>
      <c r="I12" s="5">
        <f>IF(E12="","",E12-(D12*H12+F12+G12))</f>
        <v/>
      </c>
      <c r="J12">
        <f>IF(OR(C12="",D12=""),"",D12-C12)</f>
        <v/>
      </c>
    </row>
    <row r="13">
      <c r="E13" s="5" t="n"/>
      <c r="F13" s="5" t="n"/>
      <c r="G13" s="5" t="n"/>
      <c r="H13" s="5" t="n"/>
      <c r="I13" s="5">
        <f>IF(E13="","",E13-(D13*H13+F13+G13))</f>
        <v/>
      </c>
      <c r="J13">
        <f>IF(OR(C13="",D13=""),"",D13-C13)</f>
        <v/>
      </c>
    </row>
    <row r="14">
      <c r="E14" s="5" t="n"/>
      <c r="F14" s="5" t="n"/>
      <c r="G14" s="5" t="n"/>
      <c r="H14" s="5" t="n"/>
      <c r="I14" s="5">
        <f>IF(E14="","",E14-(D14*H14+F14+G14))</f>
        <v/>
      </c>
      <c r="J14">
        <f>IF(OR(C14="",D14=""),"",D14-C14)</f>
        <v/>
      </c>
    </row>
    <row r="15">
      <c r="E15" s="5" t="n"/>
      <c r="F15" s="5" t="n"/>
      <c r="G15" s="5" t="n"/>
      <c r="H15" s="5" t="n"/>
      <c r="I15" s="5">
        <f>IF(E15="","",E15-(D15*H15+F15+G15))</f>
        <v/>
      </c>
      <c r="J15">
        <f>IF(OR(C15="",D15=""),"",D15-C15)</f>
        <v/>
      </c>
    </row>
    <row r="16">
      <c r="E16" s="5" t="n"/>
      <c r="F16" s="5" t="n"/>
      <c r="G16" s="5" t="n"/>
      <c r="H16" s="5" t="n"/>
      <c r="I16" s="5">
        <f>IF(E16="","",E16-(D16*H16+F16+G16))</f>
        <v/>
      </c>
      <c r="J16">
        <f>IF(OR(C16="",D16=""),"",D16-C16)</f>
        <v/>
      </c>
    </row>
    <row r="17">
      <c r="E17" s="5" t="n"/>
      <c r="F17" s="5" t="n"/>
      <c r="G17" s="5" t="n"/>
      <c r="H17" s="5" t="n"/>
      <c r="I17" s="5">
        <f>IF(E17="","",E17-(D17*H17+F17+G17))</f>
        <v/>
      </c>
      <c r="J17">
        <f>IF(OR(C17="",D17=""),"",D17-C17)</f>
        <v/>
      </c>
    </row>
    <row r="18">
      <c r="E18" s="5" t="n"/>
      <c r="F18" s="5" t="n"/>
      <c r="G18" s="5" t="n"/>
      <c r="H18" s="5" t="n"/>
      <c r="I18" s="5">
        <f>IF(E18="","",E18-(D18*H18+F18+G18))</f>
        <v/>
      </c>
      <c r="J18">
        <f>IF(OR(C18="",D18=""),"",D18-C18)</f>
        <v/>
      </c>
    </row>
    <row r="19">
      <c r="E19" s="5" t="n"/>
      <c r="F19" s="5" t="n"/>
      <c r="G19" s="5" t="n"/>
      <c r="H19" s="5" t="n"/>
      <c r="I19" s="5">
        <f>IF(E19="","",E19-(D19*H19+F19+G19))</f>
        <v/>
      </c>
      <c r="J19">
        <f>IF(OR(C19="",D19=""),"",D19-C19)</f>
        <v/>
      </c>
    </row>
    <row r="20">
      <c r="E20" s="5" t="n"/>
      <c r="F20" s="5" t="n"/>
      <c r="G20" s="5" t="n"/>
      <c r="H20" s="5" t="n"/>
      <c r="I20" s="5">
        <f>IF(E20="","",E20-(D20*H20+F20+G20))</f>
        <v/>
      </c>
      <c r="J20">
        <f>IF(OR(C20="",D20=""),"",D20-C20)</f>
        <v/>
      </c>
    </row>
    <row r="21">
      <c r="E21" s="5" t="n"/>
      <c r="F21" s="5" t="n"/>
      <c r="G21" s="5" t="n"/>
      <c r="H21" s="5" t="n"/>
      <c r="I21" s="5">
        <f>IF(E21="","",E21-(D21*H21+F21+G21))</f>
        <v/>
      </c>
      <c r="J21">
        <f>IF(OR(C21="",D21=""),"",D21-C21)</f>
        <v/>
      </c>
    </row>
    <row r="22">
      <c r="E22" s="5" t="n"/>
      <c r="F22" s="5" t="n"/>
      <c r="G22" s="5" t="n"/>
      <c r="H22" s="5" t="n"/>
      <c r="I22" s="5">
        <f>IF(E22="","",E22-(D22*H22+F22+G22))</f>
        <v/>
      </c>
      <c r="J22">
        <f>IF(OR(C22="",D22=""),"",D22-C22)</f>
        <v/>
      </c>
    </row>
    <row r="23">
      <c r="E23" s="5" t="n"/>
      <c r="F23" s="5" t="n"/>
      <c r="G23" s="5" t="n"/>
      <c r="H23" s="5" t="n"/>
      <c r="I23" s="5">
        <f>IF(E23="","",E23-(D23*H23+F23+G23))</f>
        <v/>
      </c>
      <c r="J23">
        <f>IF(OR(C23="",D23=""),"",D23-C23)</f>
        <v/>
      </c>
    </row>
    <row r="24">
      <c r="E24" s="5" t="n"/>
      <c r="F24" s="5" t="n"/>
      <c r="G24" s="5" t="n"/>
      <c r="H24" s="5" t="n"/>
      <c r="I24" s="5">
        <f>IF(E24="","",E24-(D24*H24+F24+G24))</f>
        <v/>
      </c>
      <c r="J24">
        <f>IF(OR(C24="",D24=""),"",D24-C24)</f>
        <v/>
      </c>
    </row>
    <row r="25">
      <c r="E25" s="5" t="n"/>
      <c r="F25" s="5" t="n"/>
      <c r="G25" s="5" t="n"/>
      <c r="H25" s="5" t="n"/>
      <c r="I25" s="5">
        <f>IF(E25="","",E25-(D25*H25+F25+G25))</f>
        <v/>
      </c>
      <c r="J25">
        <f>IF(OR(C25="",D25=""),"",D25-C25)</f>
        <v/>
      </c>
    </row>
    <row r="26">
      <c r="E26" s="5" t="n"/>
      <c r="F26" s="5" t="n"/>
      <c r="G26" s="5" t="n"/>
      <c r="H26" s="5" t="n"/>
      <c r="I26" s="5">
        <f>IF(E26="","",E26-(D26*H26+F26+G26))</f>
        <v/>
      </c>
      <c r="J26">
        <f>IF(OR(C26="",D26=""),"",D26-C26)</f>
        <v/>
      </c>
    </row>
    <row r="27">
      <c r="E27" s="5" t="n"/>
      <c r="F27" s="5" t="n"/>
      <c r="G27" s="5" t="n"/>
      <c r="H27" s="5" t="n"/>
      <c r="I27" s="5">
        <f>IF(E27="","",E27-(D27*H27+F27+G27))</f>
        <v/>
      </c>
      <c r="J27">
        <f>IF(OR(C27="",D27=""),"",D27-C27)</f>
        <v/>
      </c>
    </row>
    <row r="28">
      <c r="E28" s="5" t="n"/>
      <c r="F28" s="5" t="n"/>
      <c r="G28" s="5" t="n"/>
      <c r="H28" s="5" t="n"/>
      <c r="I28" s="5">
        <f>IF(E28="","",E28-(D28*H28+F28+G28))</f>
        <v/>
      </c>
      <c r="J28">
        <f>IF(OR(C28="",D28=""),"",D28-C28)</f>
        <v/>
      </c>
    </row>
    <row r="29">
      <c r="E29" s="5" t="n"/>
      <c r="F29" s="5" t="n"/>
      <c r="G29" s="5" t="n"/>
      <c r="H29" s="5" t="n"/>
      <c r="I29" s="5">
        <f>IF(E29="","",E29-(D29*H29+F29+G29))</f>
        <v/>
      </c>
      <c r="J29">
        <f>IF(OR(C29="",D29=""),"",D29-C29)</f>
        <v/>
      </c>
    </row>
    <row r="30">
      <c r="E30" s="5" t="n"/>
      <c r="F30" s="5" t="n"/>
      <c r="G30" s="5" t="n"/>
      <c r="H30" s="5" t="n"/>
      <c r="I30" s="5">
        <f>IF(E30="","",E30-(D30*H30+F30+G30))</f>
        <v/>
      </c>
      <c r="J30">
        <f>IF(OR(C30="",D30=""),"",D30-C30)</f>
        <v/>
      </c>
    </row>
    <row r="31">
      <c r="E31" s="5" t="n"/>
      <c r="F31" s="5" t="n"/>
      <c r="G31" s="5" t="n"/>
      <c r="H31" s="5" t="n"/>
      <c r="I31" s="5">
        <f>IF(E31="","",E31-(D31*H31+F31+G31))</f>
        <v/>
      </c>
      <c r="J31">
        <f>IF(OR(C31="",D31=""),"",D31-C31)</f>
        <v/>
      </c>
    </row>
    <row r="32">
      <c r="E32" s="5" t="n"/>
      <c r="F32" s="5" t="n"/>
      <c r="G32" s="5" t="n"/>
      <c r="H32" s="5" t="n"/>
      <c r="I32" s="5">
        <f>IF(E32="","",E32-(D32*H32+F32+G32))</f>
        <v/>
      </c>
      <c r="J32">
        <f>IF(OR(C32="",D32=""),"",D32-C32)</f>
        <v/>
      </c>
    </row>
    <row r="33">
      <c r="E33" s="5" t="n"/>
      <c r="F33" s="5" t="n"/>
      <c r="G33" s="5" t="n"/>
      <c r="H33" s="5" t="n"/>
      <c r="I33" s="5">
        <f>IF(E33="","",E33-(D33*H33+F33+G33))</f>
        <v/>
      </c>
      <c r="J33">
        <f>IF(OR(C33="",D33=""),"",D33-C33)</f>
        <v/>
      </c>
    </row>
    <row r="34">
      <c r="E34" s="5" t="n"/>
      <c r="F34" s="5" t="n"/>
      <c r="G34" s="5" t="n"/>
      <c r="H34" s="5" t="n"/>
      <c r="I34" s="5">
        <f>IF(E34="","",E34-(D34*H34+F34+G34))</f>
        <v/>
      </c>
      <c r="J34">
        <f>IF(OR(C34="",D34=""),"",D34-C34)</f>
        <v/>
      </c>
    </row>
    <row r="35">
      <c r="E35" s="5" t="n"/>
      <c r="F35" s="5" t="n"/>
      <c r="G35" s="5" t="n"/>
      <c r="H35" s="5" t="n"/>
      <c r="I35" s="5">
        <f>IF(E35="","",E35-(D35*H35+F35+G35))</f>
        <v/>
      </c>
      <c r="J35">
        <f>IF(OR(C35="",D35=""),"",D35-C35)</f>
        <v/>
      </c>
    </row>
    <row r="36">
      <c r="E36" s="5" t="n"/>
      <c r="F36" s="5" t="n"/>
      <c r="G36" s="5" t="n"/>
      <c r="H36" s="5" t="n"/>
      <c r="I36" s="5">
        <f>IF(E36="","",E36-(D36*H36+F36+G36))</f>
        <v/>
      </c>
      <c r="J36">
        <f>IF(OR(C36="",D36=""),"",D36-C36)</f>
        <v/>
      </c>
    </row>
    <row r="37">
      <c r="E37" s="5" t="n"/>
      <c r="F37" s="5" t="n"/>
      <c r="G37" s="5" t="n"/>
      <c r="H37" s="5" t="n"/>
      <c r="I37" s="5">
        <f>IF(E37="","",E37-(D37*H37+F37+G37))</f>
        <v/>
      </c>
      <c r="J37">
        <f>IF(OR(C37="",D37=""),"",D37-C37)</f>
        <v/>
      </c>
    </row>
    <row r="38">
      <c r="E38" s="5" t="n"/>
      <c r="F38" s="5" t="n"/>
      <c r="G38" s="5" t="n"/>
      <c r="H38" s="5" t="n"/>
      <c r="I38" s="5">
        <f>IF(E38="","",E38-(D38*H38+F38+G38))</f>
        <v/>
      </c>
      <c r="J38">
        <f>IF(OR(C38="",D38=""),"",D38-C38)</f>
        <v/>
      </c>
    </row>
    <row r="39">
      <c r="E39" s="5" t="n"/>
      <c r="F39" s="5" t="n"/>
      <c r="G39" s="5" t="n"/>
      <c r="H39" s="5" t="n"/>
      <c r="I39" s="5">
        <f>IF(E39="","",E39-(D39*H39+F39+G39))</f>
        <v/>
      </c>
      <c r="J39">
        <f>IF(OR(C39="",D39=""),"",D39-C39)</f>
        <v/>
      </c>
    </row>
    <row r="40">
      <c r="E40" s="5" t="n"/>
      <c r="F40" s="5" t="n"/>
      <c r="G40" s="5" t="n"/>
      <c r="H40" s="5" t="n"/>
      <c r="I40" s="5">
        <f>IF(E40="","",E40-(D40*H40+F40+G40))</f>
        <v/>
      </c>
      <c r="J40">
        <f>IF(OR(C40="",D40=""),"",D40-C40)</f>
        <v/>
      </c>
    </row>
    <row r="41">
      <c r="E41" s="5" t="n"/>
      <c r="F41" s="5" t="n"/>
      <c r="G41" s="5" t="n"/>
      <c r="H41" s="5" t="n"/>
      <c r="I41" s="5">
        <f>IF(E41="","",E41-(D41*H41+F41+G41))</f>
        <v/>
      </c>
      <c r="J41">
        <f>IF(OR(C41="",D41=""),"",D41-C41)</f>
        <v/>
      </c>
    </row>
    <row r="42">
      <c r="E42" s="5" t="n"/>
      <c r="F42" s="5" t="n"/>
      <c r="G42" s="5" t="n"/>
      <c r="H42" s="5" t="n"/>
      <c r="I42" s="5">
        <f>IF(E42="","",E42-(D42*H42+F42+G42))</f>
        <v/>
      </c>
      <c r="J42">
        <f>IF(OR(C42="",D42=""),"",D42-C42)</f>
        <v/>
      </c>
    </row>
    <row r="43">
      <c r="E43" s="5" t="n"/>
      <c r="F43" s="5" t="n"/>
      <c r="G43" s="5" t="n"/>
      <c r="H43" s="5" t="n"/>
      <c r="I43" s="5">
        <f>IF(E43="","",E43-(D43*H43+F43+G43))</f>
        <v/>
      </c>
      <c r="J43">
        <f>IF(OR(C43="",D43=""),"",D43-C43)</f>
        <v/>
      </c>
    </row>
    <row r="44">
      <c r="E44" s="5" t="n"/>
      <c r="F44" s="5" t="n"/>
      <c r="G44" s="5" t="n"/>
      <c r="H44" s="5" t="n"/>
      <c r="I44" s="5">
        <f>IF(E44="","",E44-(D44*H44+F44+G44))</f>
        <v/>
      </c>
      <c r="J44">
        <f>IF(OR(C44="",D44=""),"",D44-C44)</f>
        <v/>
      </c>
    </row>
    <row r="45">
      <c r="E45" s="5" t="n"/>
      <c r="F45" s="5" t="n"/>
      <c r="G45" s="5" t="n"/>
      <c r="H45" s="5" t="n"/>
      <c r="I45" s="5">
        <f>IF(E45="","",E45-(D45*H45+F45+G45))</f>
        <v/>
      </c>
      <c r="J45">
        <f>IF(OR(C45="",D45=""),"",D45-C45)</f>
        <v/>
      </c>
    </row>
    <row r="46">
      <c r="E46" s="5" t="n"/>
      <c r="F46" s="5" t="n"/>
      <c r="G46" s="5" t="n"/>
      <c r="H46" s="5" t="n"/>
      <c r="I46" s="5">
        <f>IF(E46="","",E46-(D46*H46+F46+G46))</f>
        <v/>
      </c>
      <c r="J46">
        <f>IF(OR(C46="",D46=""),"",D46-C46)</f>
        <v/>
      </c>
    </row>
    <row r="47">
      <c r="E47" s="5" t="n"/>
      <c r="F47" s="5" t="n"/>
      <c r="G47" s="5" t="n"/>
      <c r="H47" s="5" t="n"/>
      <c r="I47" s="5">
        <f>IF(E47="","",E47-(D47*H47+F47+G47))</f>
        <v/>
      </c>
      <c r="J47">
        <f>IF(OR(C47="",D47=""),"",D47-C47)</f>
        <v/>
      </c>
    </row>
    <row r="48">
      <c r="E48" s="5" t="n"/>
      <c r="F48" s="5" t="n"/>
      <c r="G48" s="5" t="n"/>
      <c r="H48" s="5" t="n"/>
      <c r="I48" s="5">
        <f>IF(E48="","",E48-(D48*H48+F48+G48))</f>
        <v/>
      </c>
      <c r="J48">
        <f>IF(OR(C48="",D48=""),"",D48-C48)</f>
        <v/>
      </c>
    </row>
    <row r="49">
      <c r="E49" s="5" t="n"/>
      <c r="F49" s="5" t="n"/>
      <c r="G49" s="5" t="n"/>
      <c r="H49" s="5" t="n"/>
      <c r="I49" s="5">
        <f>IF(E49="","",E49-(D49*H49+F49+G49))</f>
        <v/>
      </c>
      <c r="J49">
        <f>IF(OR(C49="",D49=""),"",D49-C49)</f>
        <v/>
      </c>
    </row>
    <row r="50">
      <c r="E50" s="5" t="n"/>
      <c r="F50" s="5" t="n"/>
      <c r="G50" s="5" t="n"/>
      <c r="H50" s="5" t="n"/>
      <c r="I50" s="5">
        <f>IF(E50="","",E50-(D50*H50+F50+G50))</f>
        <v/>
      </c>
      <c r="J50">
        <f>IF(OR(C50="",D50=""),"",D50-C50)</f>
        <v/>
      </c>
    </row>
    <row r="51">
      <c r="E51" s="5" t="n"/>
      <c r="F51" s="5" t="n"/>
      <c r="G51" s="5" t="n"/>
      <c r="H51" s="5" t="n"/>
      <c r="I51" s="5">
        <f>IF(E51="","",E51-(D51*H51+F51+G51))</f>
        <v/>
      </c>
      <c r="J51">
        <f>IF(OR(C51="",D51=""),"",D51-C51)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2026-10-11T16:15:33Z</dcterms:created>
  <dcterms:modified xmlns:dcterms="http://purl.org/dc/terms/" xmlns:xsi="http://www.w3.org/2001/XMLSchema-instance" xsi:type="dcterms:W3CDTF">2026-10-11T16:15:33Z</dcterms:modified>
</cp:coreProperties>
</file>